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DD599409-ABCE-4ABB-B06F-1ACC48EAC385}" xr6:coauthVersionLast="47" xr6:coauthVersionMax="47" xr10:uidLastSave="{00000000-0000-0000-0000-000000000000}"/>
  <bookViews>
    <workbookView xWindow="-108" yWindow="-108" windowWidth="23256" windowHeight="12456" xr2:uid="{8A5EACB8-3DF5-42D9-9310-9FCFC4AB8CE1}"/>
  </bookViews>
  <sheets>
    <sheet name="Legends" sheetId="3" r:id="rId1"/>
    <sheet name="ST20A" sheetId="1" r:id="rId2"/>
    <sheet name="ST20B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4" i="2"/>
  <c r="C5" i="2"/>
  <c r="C6" i="2"/>
  <c r="C7" i="2"/>
  <c r="C8" i="2"/>
  <c r="C9" i="2"/>
  <c r="C3" i="2"/>
  <c r="C10" i="2" s="1"/>
  <c r="H10" i="2"/>
  <c r="G10" i="2"/>
</calcChain>
</file>

<file path=xl/sharedStrings.xml><?xml version="1.0" encoding="utf-8"?>
<sst xmlns="http://schemas.openxmlformats.org/spreadsheetml/2006/main" count="144" uniqueCount="66">
  <si>
    <t>Study Name</t>
  </si>
  <si>
    <t>Sample Size</t>
  </si>
  <si>
    <t>Oral-Subsite</t>
  </si>
  <si>
    <t>Country</t>
  </si>
  <si>
    <t>Sequencing Strategy</t>
  </si>
  <si>
    <t>Control Samples</t>
  </si>
  <si>
    <t>Disease Samples</t>
  </si>
  <si>
    <t>Diseases</t>
  </si>
  <si>
    <t>Accession No.</t>
  </si>
  <si>
    <t>DOI</t>
  </si>
  <si>
    <t>CaselliE_2020</t>
  </si>
  <si>
    <t>subgingival_subsite</t>
  </si>
  <si>
    <t>ITA</t>
  </si>
  <si>
    <t>WGS</t>
  </si>
  <si>
    <t>PRJEB36291</t>
  </si>
  <si>
    <t>https://doi.org/10.1186/s12866-020-01801-y</t>
  </si>
  <si>
    <t>GanesanS_2020</t>
  </si>
  <si>
    <t>USA</t>
  </si>
  <si>
    <t>PRJNA544061; PRJNA548383; PRJNA508385</t>
  </si>
  <si>
    <t>https://doi.org/10.1126/sciadv.aaz0108</t>
  </si>
  <si>
    <t>GanesanS_2020_exposure</t>
  </si>
  <si>
    <t>ShoerS_2023</t>
  </si>
  <si>
    <t>ISR</t>
  </si>
  <si>
    <t>PRJEB64861</t>
  </si>
  <si>
    <t>https://doi.org/10.1038/s41467-023-41042-x</t>
  </si>
  <si>
    <t>AndersonA_2013</t>
  </si>
  <si>
    <t>SDN</t>
  </si>
  <si>
    <t>16s</t>
  </si>
  <si>
    <t>Endontic_Infection</t>
  </si>
  <si>
    <t>PRJNA217469</t>
  </si>
  <si>
    <t>https://dx.doi.org/10.1371%2Fjournal.pone.0084960</t>
  </si>
  <si>
    <t>BelstromD_2021</t>
  </si>
  <si>
    <t>DNK</t>
  </si>
  <si>
    <t>Periodontitis</t>
  </si>
  <si>
    <t>PRJNA678453</t>
  </si>
  <si>
    <t>https://doi.org/10.1038/s41522-021-00247-y</t>
  </si>
  <si>
    <t>GalimanasV_2014</t>
  </si>
  <si>
    <t>PRJEB6047</t>
  </si>
  <si>
    <t>https://doi.org/10.1186/2049-2618-2-32</t>
  </si>
  <si>
    <t>GhensiP_2019</t>
  </si>
  <si>
    <t>Mucositis, Peri_Implantitis_Variants</t>
  </si>
  <si>
    <t>PRJNA547717</t>
  </si>
  <si>
    <t>https://doi.org/10.1038/s41522-020-00155-7</t>
  </si>
  <si>
    <t>LenartovaM_2021</t>
  </si>
  <si>
    <t>USA, SVK, MEX, KOR, HUN, UKR, VNM, SAU, ARM, RUS</t>
  </si>
  <si>
    <t>PRJNA670573</t>
  </si>
  <si>
    <t>https://doi.org/10.3389/fcimb.2021.629723</t>
  </si>
  <si>
    <t>MarotzC_2022Su</t>
  </si>
  <si>
    <t>PRJEB50261</t>
  </si>
  <si>
    <t>https://doi.org/10.1038/s41522-022-00289-w</t>
  </si>
  <si>
    <t>MonteiroM_2021</t>
  </si>
  <si>
    <t>BRA</t>
  </si>
  <si>
    <t>PRJNA606501</t>
  </si>
  <si>
    <t>https://doi.org/10.1038/s41598-020-80372-4</t>
  </si>
  <si>
    <r>
      <t xml:space="preserve">Details of the </t>
    </r>
    <r>
      <rPr>
        <b/>
        <sz val="12"/>
        <color theme="5" tint="-0.249977111117893"/>
        <rFont val="Calibri"/>
        <family val="2"/>
        <scheme val="minor"/>
      </rPr>
      <t>11 Subgingival study cohorts</t>
    </r>
    <r>
      <rPr>
        <b/>
        <sz val="12"/>
        <rFont val="Calibri"/>
        <family val="2"/>
        <scheme val="minor"/>
      </rPr>
      <t xml:space="preserve"> used for the Core-Association Score (</t>
    </r>
    <r>
      <rPr>
        <b/>
        <sz val="12"/>
        <color theme="5" tint="-0.249977111117893"/>
        <rFont val="Calibri"/>
        <family val="2"/>
        <scheme val="minor"/>
      </rPr>
      <t>CS</t>
    </r>
    <r>
      <rPr>
        <b/>
        <sz val="12"/>
        <rFont val="Calibri"/>
        <family val="2"/>
        <scheme val="minor"/>
      </rPr>
      <t>)computation.</t>
    </r>
  </si>
  <si>
    <r>
      <t xml:space="preserve">Details of the </t>
    </r>
    <r>
      <rPr>
        <b/>
        <sz val="12"/>
        <color theme="5" tint="-0.249977111117893"/>
        <rFont val="Calibri"/>
        <family val="2"/>
        <scheme val="minor"/>
      </rPr>
      <t xml:space="preserve">7 Subgingival study cohorts </t>
    </r>
    <r>
      <rPr>
        <b/>
        <sz val="12"/>
        <rFont val="Calibri"/>
        <family val="2"/>
        <scheme val="minor"/>
      </rPr>
      <t>used for Health-Association</t>
    </r>
    <r>
      <rPr>
        <b/>
        <sz val="12"/>
        <color theme="1"/>
        <rFont val="Calibri"/>
        <family val="2"/>
        <scheme val="minor"/>
      </rPr>
      <t xml:space="preserve"> Score (</t>
    </r>
    <r>
      <rPr>
        <b/>
        <sz val="12"/>
        <color theme="5" tint="-0.249977111117893"/>
        <rFont val="Calibri"/>
        <family val="2"/>
        <scheme val="minor"/>
      </rPr>
      <t>HS</t>
    </r>
    <r>
      <rPr>
        <b/>
        <sz val="12"/>
        <color theme="1"/>
        <rFont val="Calibri"/>
        <family val="2"/>
        <scheme val="minor"/>
      </rPr>
      <t>)computation</t>
    </r>
  </si>
  <si>
    <t>Table Number</t>
  </si>
  <si>
    <t>In short</t>
  </si>
  <si>
    <t>Description</t>
  </si>
  <si>
    <t>Table S20A</t>
  </si>
  <si>
    <t>ST20A</t>
  </si>
  <si>
    <t>Table S20B</t>
  </si>
  <si>
    <t>ST20B</t>
  </si>
  <si>
    <r>
      <t xml:space="preserve">Table S20: </t>
    </r>
    <r>
      <rPr>
        <b/>
        <sz val="12"/>
        <color theme="5" tint="-0.249977111117893"/>
        <rFont val="Calibri"/>
        <family val="2"/>
        <scheme val="minor"/>
      </rPr>
      <t>Subgingival</t>
    </r>
    <r>
      <rPr>
        <b/>
        <sz val="12"/>
        <color theme="1"/>
        <rFont val="Calibri"/>
        <family val="2"/>
        <scheme val="minor"/>
      </rPr>
      <t xml:space="preserve"> control and matched case-control cohorts used for Core-Association Score (CS) and Health-Association Score (HS) computation.</t>
    </r>
  </si>
  <si>
    <r>
      <t xml:space="preserve">Subgingival control cohorts used for Core-Association Score computation:
</t>
    </r>
    <r>
      <rPr>
        <sz val="11"/>
        <color theme="1"/>
        <rFont val="Calibri"/>
        <family val="2"/>
        <scheme val="minor"/>
      </rPr>
      <t>Details of 11 non-diseased subgingival study cohorts used for Core Association Score computation, including study cohort information, sequencing strategy, country, sample count, and study-wise core-associated taxa.</t>
    </r>
  </si>
  <si>
    <r>
      <rPr>
        <sz val="11"/>
        <color theme="5" tint="-0.249977111117893"/>
        <rFont val="Calibri"/>
        <family val="2"/>
        <scheme val="minor"/>
      </rPr>
      <t xml:space="preserve">Matched subgingival case-control cohorts used for Health-Association Score computation:
</t>
    </r>
    <r>
      <rPr>
        <sz val="11"/>
        <color theme="1"/>
        <rFont val="Calibri"/>
        <family val="2"/>
        <scheme val="minor"/>
      </rPr>
      <t>Details of matched subgingival case-control cohorts spanning 4 disease categories, including control and diseased sample counts, country, sequencing strategy, and disease category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</si>
</sst>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6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52062-6CA9-4E1B-B31F-063553CC2614}" name="Table4" displayName="Table4" ref="A3:H14" headerRowCount="0" totalsRowCount="1" headerRowDxfId="66" dataDxfId="64" headerRowBorderDxfId="65" tableBorderDxfId="63" totalsRowBorderDxfId="62">
  <tableColumns count="8">
    <tableColumn id="1" xr3:uid="{982050BF-9443-443F-8659-EAD08AF81D98}" name="Column1" headerRowDxfId="61" dataDxfId="60" totalsRowDxfId="59"/>
    <tableColumn id="2" xr3:uid="{9B5486C2-862C-443D-9D22-FED1EC26786E}" name="Column2" headerRowDxfId="58" dataDxfId="57" totalsRowDxfId="56"/>
    <tableColumn id="3" xr3:uid="{66523E37-182C-41A9-BB0C-BB3B048D885B}" name="Column3" totalsRowFunction="custom" headerRowDxfId="55" dataDxfId="54" totalsRowDxfId="53">
      <totalsRowFormula>SUM(Table4[Column3])</totalsRowFormula>
    </tableColumn>
    <tableColumn id="4" xr3:uid="{5596E875-B780-4D4C-ACDB-CB471CD92F0A}" name="Column4" headerRowDxfId="52" dataDxfId="51" totalsRowDxfId="50"/>
    <tableColumn id="5" xr3:uid="{8F050D5A-A09A-40E2-8BF8-B9AF0595EFCC}" name="Column5" headerRowDxfId="49" dataDxfId="48" totalsRowDxfId="47"/>
    <tableColumn id="6" xr3:uid="{8D9C9BC7-5380-4C0C-B2F9-8F981CFD9F95}" name="Column6" headerRowDxfId="46" dataDxfId="45" totalsRowDxfId="44"/>
    <tableColumn id="14" xr3:uid="{928B4FEA-AB1B-4905-AE33-9B170F270C39}" name="Column14" headerRowDxfId="43" dataDxfId="42" totalsRowDxfId="41"/>
    <tableColumn id="15" xr3:uid="{708C36A8-BD75-4DC2-8E8D-A781F0706944}" name="Column15" headerRowDxfId="40" dataDxfId="39" totalsRow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12BEF6-F5ED-4694-94C9-30436CDFE685}" name="Table43" displayName="Table43" ref="A3:K10" headerRowCount="0" totalsRowCount="1" headerRowDxfId="37" dataDxfId="35" headerRowBorderDxfId="36" tableBorderDxfId="34" totalsRowBorderDxfId="33">
  <tableColumns count="11">
    <tableColumn id="1" xr3:uid="{BA6B9561-68E2-40B7-A87B-0085F8DC334B}" name="Column1" headerRowDxfId="32" dataDxfId="31" totalsRowDxfId="30"/>
    <tableColumn id="2" xr3:uid="{5375BBA4-4367-46A6-B16A-CEB2304AF3C0}" name="Column2" headerRowDxfId="29" dataDxfId="28" totalsRowDxfId="27"/>
    <tableColumn id="3" xr3:uid="{39461BC9-2214-4F20-9BE2-403401F5E09E}" name="Column3" totalsRowFunction="custom" headerRowDxfId="26" dataDxfId="25" totalsRowDxfId="24">
      <calculatedColumnFormula>SUM(Table43[[#This Row],[Column7]:[Column8]])</calculatedColumnFormula>
      <totalsRowFormula>SUM(Table43[Column3])</totalsRowFormula>
    </tableColumn>
    <tableColumn id="4" xr3:uid="{FDCEF622-02EA-427F-B6E6-29491FF3B2E0}" name="Column4" headerRowDxfId="23" dataDxfId="22" totalsRowDxfId="21"/>
    <tableColumn id="5" xr3:uid="{1EA5D83F-27C9-4913-A3AA-E190876E11C4}" name="Column5" headerRowDxfId="20" dataDxfId="19" totalsRowDxfId="18"/>
    <tableColumn id="6" xr3:uid="{D6F0C7C8-68A4-4FF8-836A-22759B8C7B6B}" name="Column6" headerRowDxfId="17" dataDxfId="16" totalsRowDxfId="15"/>
    <tableColumn id="7" xr3:uid="{A9549B84-4E73-42FF-8653-C30BBB72E0FF}" name="Column7" totalsRowFunction="custom" headerRowDxfId="14" dataDxfId="13" totalsRowDxfId="12">
      <totalsRowFormula>SUM(Table43[Column7])</totalsRowFormula>
    </tableColumn>
    <tableColumn id="8" xr3:uid="{48F397B0-C8C0-46A5-9B54-6971C53D5EEA}" name="Column8" totalsRowFunction="custom" headerRowDxfId="11" dataDxfId="10" totalsRowDxfId="9">
      <totalsRowFormula>SUM(Table43[Column8])</totalsRowFormula>
    </tableColumn>
    <tableColumn id="10" xr3:uid="{96E0F82B-72DB-471F-B4A2-BF3A4F97937A}" name="Column10" headerRowDxfId="8" dataDxfId="7" totalsRowDxfId="6"/>
    <tableColumn id="14" xr3:uid="{B1F647EF-0E2C-4E3D-8501-E19EF2F322AD}" name="Column14" headerRowDxfId="5" dataDxfId="4" totalsRowDxfId="3"/>
    <tableColumn id="15" xr3:uid="{9E490EF9-6F89-4FEA-9583-02C851AD44EA}" name="Column15" headerRowDxfId="2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7A98-3EA1-40AB-B88C-36FEB5CE04C5}">
  <dimension ref="A1:C5"/>
  <sheetViews>
    <sheetView tabSelected="1" workbookViewId="0">
      <selection activeCell="C12" sqref="C12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4" t="s">
        <v>63</v>
      </c>
      <c r="B1" s="15"/>
      <c r="C1" s="15"/>
    </row>
    <row r="2" spans="1:3" ht="28.2" customHeight="1" x14ac:dyDescent="0.3">
      <c r="A2" s="15"/>
      <c r="B2" s="15"/>
      <c r="C2" s="15"/>
    </row>
    <row r="3" spans="1:3" x14ac:dyDescent="0.3">
      <c r="A3" s="4" t="s">
        <v>56</v>
      </c>
      <c r="B3" s="4" t="s">
        <v>57</v>
      </c>
      <c r="C3" s="4" t="s">
        <v>58</v>
      </c>
    </row>
    <row r="4" spans="1:3" ht="57.6" x14ac:dyDescent="0.3">
      <c r="A4" s="4" t="s">
        <v>59</v>
      </c>
      <c r="B4" s="4" t="s">
        <v>60</v>
      </c>
      <c r="C4" s="16" t="s">
        <v>64</v>
      </c>
    </row>
    <row r="5" spans="1:3" ht="57.6" x14ac:dyDescent="0.3">
      <c r="A5" s="4" t="s">
        <v>61</v>
      </c>
      <c r="B5" s="4" t="s">
        <v>62</v>
      </c>
      <c r="C5" s="17" t="s">
        <v>65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EB75-F99C-431A-A270-EE7BDC5693CA}">
  <dimension ref="A1:H14"/>
  <sheetViews>
    <sheetView workbookViewId="0">
      <selection activeCell="G13" sqref="G13"/>
    </sheetView>
  </sheetViews>
  <sheetFormatPr defaultRowHeight="14.4" x14ac:dyDescent="0.3"/>
  <cols>
    <col min="1" max="1" width="4.6640625" customWidth="1"/>
    <col min="2" max="2" width="20.5546875" style="10" customWidth="1"/>
    <col min="3" max="3" width="8" customWidth="1"/>
    <col min="4" max="4" width="16.5546875" bestFit="1" customWidth="1"/>
    <col min="5" max="5" width="9.44140625" style="10" customWidth="1"/>
    <col min="6" max="6" width="11.5546875" customWidth="1"/>
    <col min="7" max="7" width="18.44140625" style="10" customWidth="1"/>
    <col min="8" max="8" width="45.109375" customWidth="1"/>
  </cols>
  <sheetData>
    <row r="1" spans="1:8" ht="15.6" customHeight="1" x14ac:dyDescent="0.3">
      <c r="A1" s="11" t="s">
        <v>54</v>
      </c>
      <c r="B1" s="12"/>
      <c r="C1" s="12"/>
      <c r="D1" s="12"/>
      <c r="E1" s="12"/>
      <c r="F1" s="12"/>
      <c r="G1" s="12"/>
      <c r="H1" s="13"/>
    </row>
    <row r="2" spans="1:8" ht="28.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</v>
      </c>
      <c r="H2" s="1" t="s">
        <v>9</v>
      </c>
    </row>
    <row r="3" spans="1:8" x14ac:dyDescent="0.3">
      <c r="A3" s="3">
        <v>1</v>
      </c>
      <c r="B3" s="4" t="s">
        <v>10</v>
      </c>
      <c r="C3" s="4">
        <v>20</v>
      </c>
      <c r="D3" s="4" t="s">
        <v>11</v>
      </c>
      <c r="E3" s="4" t="s">
        <v>12</v>
      </c>
      <c r="F3" s="4" t="s">
        <v>13</v>
      </c>
      <c r="G3" s="4" t="s">
        <v>14</v>
      </c>
      <c r="H3" s="5" t="s">
        <v>15</v>
      </c>
    </row>
    <row r="4" spans="1:8" x14ac:dyDescent="0.3">
      <c r="A4" s="3">
        <v>2</v>
      </c>
      <c r="B4" s="4" t="s">
        <v>16</v>
      </c>
      <c r="C4" s="4">
        <v>25</v>
      </c>
      <c r="D4" s="4" t="s">
        <v>11</v>
      </c>
      <c r="E4" s="4" t="s">
        <v>17</v>
      </c>
      <c r="F4" s="4" t="s">
        <v>13</v>
      </c>
      <c r="G4" s="6" t="s">
        <v>18</v>
      </c>
      <c r="H4" s="5" t="s">
        <v>19</v>
      </c>
    </row>
    <row r="5" spans="1:8" x14ac:dyDescent="0.3">
      <c r="A5" s="3">
        <v>3</v>
      </c>
      <c r="B5" s="6" t="s">
        <v>20</v>
      </c>
      <c r="C5" s="4">
        <v>73</v>
      </c>
      <c r="D5" s="4" t="s">
        <v>11</v>
      </c>
      <c r="E5" s="4" t="s">
        <v>17</v>
      </c>
      <c r="F5" s="4" t="s">
        <v>13</v>
      </c>
      <c r="G5" s="6" t="s">
        <v>18</v>
      </c>
      <c r="H5" s="5" t="s">
        <v>19</v>
      </c>
    </row>
    <row r="6" spans="1:8" x14ac:dyDescent="0.3">
      <c r="A6" s="3">
        <v>4</v>
      </c>
      <c r="B6" s="4" t="s">
        <v>21</v>
      </c>
      <c r="C6" s="4">
        <v>310</v>
      </c>
      <c r="D6" s="4" t="s">
        <v>11</v>
      </c>
      <c r="E6" s="4" t="s">
        <v>22</v>
      </c>
      <c r="F6" s="4" t="s">
        <v>13</v>
      </c>
      <c r="G6" s="4" t="s">
        <v>23</v>
      </c>
      <c r="H6" s="5" t="s">
        <v>24</v>
      </c>
    </row>
    <row r="7" spans="1:8" x14ac:dyDescent="0.3">
      <c r="A7" s="3">
        <v>5</v>
      </c>
      <c r="B7" s="4" t="s">
        <v>25</v>
      </c>
      <c r="C7" s="4">
        <v>23</v>
      </c>
      <c r="D7" s="4" t="s">
        <v>11</v>
      </c>
      <c r="E7" s="4" t="s">
        <v>26</v>
      </c>
      <c r="F7" s="4" t="s">
        <v>27</v>
      </c>
      <c r="G7" s="4" t="s">
        <v>29</v>
      </c>
      <c r="H7" s="5" t="s">
        <v>30</v>
      </c>
    </row>
    <row r="8" spans="1:8" x14ac:dyDescent="0.3">
      <c r="A8" s="3">
        <v>6</v>
      </c>
      <c r="B8" s="4" t="s">
        <v>31</v>
      </c>
      <c r="C8" s="4">
        <v>20</v>
      </c>
      <c r="D8" s="4" t="s">
        <v>11</v>
      </c>
      <c r="E8" s="4" t="s">
        <v>32</v>
      </c>
      <c r="F8" s="4" t="s">
        <v>13</v>
      </c>
      <c r="G8" s="4" t="s">
        <v>34</v>
      </c>
      <c r="H8" s="5" t="s">
        <v>35</v>
      </c>
    </row>
    <row r="9" spans="1:8" x14ac:dyDescent="0.3">
      <c r="A9" s="3">
        <v>7</v>
      </c>
      <c r="B9" s="4" t="s">
        <v>36</v>
      </c>
      <c r="C9" s="4">
        <v>11</v>
      </c>
      <c r="D9" s="4" t="s">
        <v>11</v>
      </c>
      <c r="E9" s="4" t="s">
        <v>17</v>
      </c>
      <c r="F9" s="4" t="s">
        <v>27</v>
      </c>
      <c r="G9" s="4" t="s">
        <v>37</v>
      </c>
      <c r="H9" s="5" t="s">
        <v>38</v>
      </c>
    </row>
    <row r="10" spans="1:8" x14ac:dyDescent="0.3">
      <c r="A10" s="3">
        <v>8</v>
      </c>
      <c r="B10" s="4" t="s">
        <v>39</v>
      </c>
      <c r="C10" s="4">
        <v>35</v>
      </c>
      <c r="D10" s="4" t="s">
        <v>11</v>
      </c>
      <c r="E10" s="4" t="s">
        <v>12</v>
      </c>
      <c r="F10" s="4" t="s">
        <v>13</v>
      </c>
      <c r="G10" s="4" t="s">
        <v>41</v>
      </c>
      <c r="H10" s="5" t="s">
        <v>42</v>
      </c>
    </row>
    <row r="11" spans="1:8" x14ac:dyDescent="0.3">
      <c r="A11" s="3">
        <v>9</v>
      </c>
      <c r="B11" s="4" t="s">
        <v>43</v>
      </c>
      <c r="C11" s="4">
        <v>91</v>
      </c>
      <c r="D11" s="4" t="s">
        <v>11</v>
      </c>
      <c r="E11" s="4" t="s">
        <v>44</v>
      </c>
      <c r="F11" s="4" t="s">
        <v>27</v>
      </c>
      <c r="G11" s="4" t="s">
        <v>45</v>
      </c>
      <c r="H11" s="5" t="s">
        <v>46</v>
      </c>
    </row>
    <row r="12" spans="1:8" x14ac:dyDescent="0.3">
      <c r="A12" s="3">
        <v>10</v>
      </c>
      <c r="B12" s="4" t="s">
        <v>47</v>
      </c>
      <c r="C12" s="4">
        <v>780</v>
      </c>
      <c r="D12" s="4" t="s">
        <v>11</v>
      </c>
      <c r="E12" s="4" t="s">
        <v>17</v>
      </c>
      <c r="F12" s="4" t="s">
        <v>27</v>
      </c>
      <c r="G12" s="4" t="s">
        <v>48</v>
      </c>
      <c r="H12" s="5" t="s">
        <v>49</v>
      </c>
    </row>
    <row r="13" spans="1:8" x14ac:dyDescent="0.3">
      <c r="A13" s="7">
        <v>11</v>
      </c>
      <c r="B13" s="8" t="s">
        <v>50</v>
      </c>
      <c r="C13" s="8">
        <v>30</v>
      </c>
      <c r="D13" s="8" t="s">
        <v>11</v>
      </c>
      <c r="E13" s="8" t="s">
        <v>51</v>
      </c>
      <c r="F13" s="8" t="s">
        <v>27</v>
      </c>
      <c r="G13" s="8" t="s">
        <v>52</v>
      </c>
      <c r="H13" s="9" t="s">
        <v>53</v>
      </c>
    </row>
    <row r="14" spans="1:8" x14ac:dyDescent="0.3">
      <c r="A14" s="7"/>
      <c r="B14" s="8"/>
      <c r="C14" s="8">
        <f>SUM(Table4[Column3])</f>
        <v>1418</v>
      </c>
      <c r="D14" s="8"/>
      <c r="E14" s="8"/>
      <c r="F14" s="8"/>
      <c r="G14" s="8"/>
      <c r="H14" s="9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6D71-6926-40FD-A72A-59BD8FB32428}">
  <dimension ref="A1:K10"/>
  <sheetViews>
    <sheetView workbookViewId="0">
      <selection activeCell="D21" sqref="D21"/>
    </sheetView>
  </sheetViews>
  <sheetFormatPr defaultRowHeight="14.4" x14ac:dyDescent="0.3"/>
  <cols>
    <col min="1" max="1" width="4.6640625" customWidth="1"/>
    <col min="2" max="2" width="20.5546875" style="10" customWidth="1"/>
    <col min="3" max="3" width="8" customWidth="1"/>
    <col min="4" max="4" width="16.5546875" bestFit="1" customWidth="1"/>
    <col min="5" max="5" width="9.44140625" style="10" customWidth="1"/>
    <col min="6" max="6" width="11.5546875" customWidth="1"/>
    <col min="7" max="8" width="10.109375" customWidth="1"/>
    <col min="9" max="9" width="29.33203125" customWidth="1"/>
    <col min="10" max="10" width="18.44140625" style="10" customWidth="1"/>
    <col min="11" max="11" width="40" customWidth="1"/>
  </cols>
  <sheetData>
    <row r="1" spans="1:11" ht="15.6" customHeight="1" x14ac:dyDescent="0.3">
      <c r="A1" s="11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8.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  <c r="K2" s="1" t="s">
        <v>9</v>
      </c>
    </row>
    <row r="3" spans="1:11" x14ac:dyDescent="0.3">
      <c r="A3" s="3">
        <v>1</v>
      </c>
      <c r="B3" s="4" t="s">
        <v>25</v>
      </c>
      <c r="C3" s="4">
        <f>SUM(Table43[[#This Row],[Column7]:[Column8]])</f>
        <v>40</v>
      </c>
      <c r="D3" s="4" t="s">
        <v>11</v>
      </c>
      <c r="E3" s="4" t="s">
        <v>26</v>
      </c>
      <c r="F3" s="4" t="s">
        <v>27</v>
      </c>
      <c r="G3" s="4">
        <v>23</v>
      </c>
      <c r="H3" s="4">
        <v>17</v>
      </c>
      <c r="I3" s="4" t="s">
        <v>28</v>
      </c>
      <c r="J3" s="4" t="s">
        <v>29</v>
      </c>
      <c r="K3" s="5" t="s">
        <v>30</v>
      </c>
    </row>
    <row r="4" spans="1:11" x14ac:dyDescent="0.3">
      <c r="A4" s="3">
        <v>2</v>
      </c>
      <c r="B4" s="4" t="s">
        <v>31</v>
      </c>
      <c r="C4" s="4">
        <f>SUM(Table43[[#This Row],[Column7]:[Column8]])</f>
        <v>38</v>
      </c>
      <c r="D4" s="4" t="s">
        <v>11</v>
      </c>
      <c r="E4" s="4" t="s">
        <v>32</v>
      </c>
      <c r="F4" s="4" t="s">
        <v>13</v>
      </c>
      <c r="G4" s="4">
        <v>20</v>
      </c>
      <c r="H4" s="4">
        <v>18</v>
      </c>
      <c r="I4" s="4" t="s">
        <v>33</v>
      </c>
      <c r="J4" s="4" t="s">
        <v>34</v>
      </c>
      <c r="K4" s="5" t="s">
        <v>35</v>
      </c>
    </row>
    <row r="5" spans="1:11" x14ac:dyDescent="0.3">
      <c r="A5" s="3">
        <v>3</v>
      </c>
      <c r="B5" s="4" t="s">
        <v>36</v>
      </c>
      <c r="C5" s="4">
        <f>SUM(Table43[[#This Row],[Column7]:[Column8]])</f>
        <v>24</v>
      </c>
      <c r="D5" s="4" t="s">
        <v>11</v>
      </c>
      <c r="E5" s="4" t="s">
        <v>17</v>
      </c>
      <c r="F5" s="4" t="s">
        <v>27</v>
      </c>
      <c r="G5" s="4">
        <v>11</v>
      </c>
      <c r="H5" s="4">
        <v>13</v>
      </c>
      <c r="I5" s="4" t="s">
        <v>33</v>
      </c>
      <c r="J5" s="4" t="s">
        <v>37</v>
      </c>
      <c r="K5" s="5" t="s">
        <v>38</v>
      </c>
    </row>
    <row r="6" spans="1:11" x14ac:dyDescent="0.3">
      <c r="A6" s="3">
        <v>4</v>
      </c>
      <c r="B6" s="4" t="s">
        <v>39</v>
      </c>
      <c r="C6" s="4">
        <f>SUM(Table43[[#This Row],[Column7]:[Column8]])</f>
        <v>113</v>
      </c>
      <c r="D6" s="4" t="s">
        <v>11</v>
      </c>
      <c r="E6" s="4" t="s">
        <v>12</v>
      </c>
      <c r="F6" s="4" t="s">
        <v>13</v>
      </c>
      <c r="G6" s="4">
        <v>35</v>
      </c>
      <c r="H6" s="4">
        <v>78</v>
      </c>
      <c r="I6" s="4" t="s">
        <v>40</v>
      </c>
      <c r="J6" s="4" t="s">
        <v>41</v>
      </c>
      <c r="K6" s="5" t="s">
        <v>42</v>
      </c>
    </row>
    <row r="7" spans="1:11" x14ac:dyDescent="0.3">
      <c r="A7" s="3">
        <v>5</v>
      </c>
      <c r="B7" s="4" t="s">
        <v>43</v>
      </c>
      <c r="C7" s="4">
        <f>SUM(Table43[[#This Row],[Column7]:[Column8]])</f>
        <v>153</v>
      </c>
      <c r="D7" s="4" t="s">
        <v>11</v>
      </c>
      <c r="E7" s="4" t="s">
        <v>44</v>
      </c>
      <c r="F7" s="4" t="s">
        <v>27</v>
      </c>
      <c r="G7" s="4">
        <v>91</v>
      </c>
      <c r="H7" s="4">
        <v>62</v>
      </c>
      <c r="I7" s="4" t="s">
        <v>33</v>
      </c>
      <c r="J7" s="4" t="s">
        <v>45</v>
      </c>
      <c r="K7" s="5" t="s">
        <v>46</v>
      </c>
    </row>
    <row r="8" spans="1:11" x14ac:dyDescent="0.3">
      <c r="A8" s="3">
        <v>6</v>
      </c>
      <c r="B8" s="4" t="s">
        <v>47</v>
      </c>
      <c r="C8" s="4">
        <f>SUM(Table43[[#This Row],[Column7]:[Column8]])</f>
        <v>1108</v>
      </c>
      <c r="D8" s="4" t="s">
        <v>11</v>
      </c>
      <c r="E8" s="4" t="s">
        <v>17</v>
      </c>
      <c r="F8" s="4" t="s">
        <v>27</v>
      </c>
      <c r="G8" s="4">
        <v>780</v>
      </c>
      <c r="H8" s="4">
        <v>328</v>
      </c>
      <c r="I8" s="4" t="s">
        <v>33</v>
      </c>
      <c r="J8" s="4" t="s">
        <v>48</v>
      </c>
      <c r="K8" s="5" t="s">
        <v>49</v>
      </c>
    </row>
    <row r="9" spans="1:11" x14ac:dyDescent="0.3">
      <c r="A9" s="3">
        <v>7</v>
      </c>
      <c r="B9" s="8" t="s">
        <v>50</v>
      </c>
      <c r="C9" s="4">
        <f>SUM(Table43[[#This Row],[Column7]:[Column8]])</f>
        <v>70</v>
      </c>
      <c r="D9" s="8" t="s">
        <v>11</v>
      </c>
      <c r="E9" s="8" t="s">
        <v>51</v>
      </c>
      <c r="F9" s="8" t="s">
        <v>27</v>
      </c>
      <c r="G9" s="8">
        <v>30</v>
      </c>
      <c r="H9" s="8">
        <v>40</v>
      </c>
      <c r="I9" s="8" t="s">
        <v>33</v>
      </c>
      <c r="J9" s="8" t="s">
        <v>52</v>
      </c>
      <c r="K9" s="9" t="s">
        <v>53</v>
      </c>
    </row>
    <row r="10" spans="1:11" x14ac:dyDescent="0.3">
      <c r="A10" s="7"/>
      <c r="B10" s="8"/>
      <c r="C10" s="8">
        <f>SUM(Table43[Column3])</f>
        <v>1546</v>
      </c>
      <c r="D10" s="8"/>
      <c r="E10" s="8"/>
      <c r="F10" s="8"/>
      <c r="G10" s="8">
        <f>SUM(Table43[Column7])</f>
        <v>990</v>
      </c>
      <c r="H10" s="8">
        <f>SUM(Table43[Column8])</f>
        <v>556</v>
      </c>
      <c r="I10" s="8"/>
      <c r="J10" s="8"/>
      <c r="K10" s="9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ST20A</vt:lpstr>
      <vt:lpstr>ST20B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2026-07-18T12:14:14Z</dcterms:created>
  <dcterms:modified xsi:type="dcterms:W3CDTF">2026-08-16T07:19:03Z</dcterms:modified>
</cp:coreProperties>
</file>