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shortcut-targets-by-id\1Vmah1FnplEljOIAXc93FXWjVG8OCFZMp\MetaOral\Analysis_Data\Analysis\Manuscript\V4_MetaOral\Supplementary_Table\"/>
    </mc:Choice>
  </mc:AlternateContent>
  <xr:revisionPtr revIDLastSave="0" documentId="13_ncr:1_{252A64CD-64F2-42F7-94F4-705CD28BC550}" xr6:coauthVersionLast="47" xr6:coauthVersionMax="47" xr10:uidLastSave="{00000000-0000-0000-0000-000000000000}"/>
  <bookViews>
    <workbookView xWindow="-108" yWindow="-108" windowWidth="23256" windowHeight="12456" xr2:uid="{3EC24567-99D6-4BD8-AB36-9BE20A4FD297}"/>
  </bookViews>
  <sheets>
    <sheet name="Legends" sheetId="12" r:id="rId1"/>
    <sheet name="ST1A" sheetId="1" r:id="rId2"/>
    <sheet name="ST1B" sheetId="2" r:id="rId3"/>
    <sheet name="ST1C" sheetId="4" r:id="rId4"/>
    <sheet name="ST1D" sheetId="5" r:id="rId5"/>
    <sheet name="ST1E" sheetId="3" r:id="rId6"/>
    <sheet name="ST1F"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11" l="1"/>
  <c r="F22" i="11"/>
  <c r="G22" i="11"/>
  <c r="E14" i="3"/>
  <c r="F14" i="3"/>
  <c r="E21" i="5"/>
  <c r="F21" i="5"/>
  <c r="E14" i="4"/>
  <c r="F14" i="4"/>
  <c r="E27" i="2"/>
  <c r="F27" i="2"/>
  <c r="F108" i="1"/>
  <c r="E108" i="1"/>
  <c r="D22" i="11"/>
  <c r="D14" i="3"/>
  <c r="D108" i="1"/>
  <c r="D27" i="2"/>
  <c r="D14" i="4"/>
  <c r="D21" i="5"/>
</calcChain>
</file>

<file path=xl/sharedStrings.xml><?xml version="1.0" encoding="utf-8"?>
<sst xmlns="http://schemas.openxmlformats.org/spreadsheetml/2006/main" count="1435" uniqueCount="561">
  <si>
    <t>Study Name</t>
  </si>
  <si>
    <t>Sample Size</t>
  </si>
  <si>
    <t>Oral-Subsite</t>
  </si>
  <si>
    <t>Country</t>
  </si>
  <si>
    <t>Sequencing Strategy</t>
  </si>
  <si>
    <t>DOI</t>
  </si>
  <si>
    <t>AcharyaA_2017</t>
  </si>
  <si>
    <t>saliva_sputum_oral_wash</t>
  </si>
  <si>
    <t>IND</t>
  </si>
  <si>
    <t>16s</t>
  </si>
  <si>
    <t>PRJNA323410</t>
  </si>
  <si>
    <t>https://doi.org/10.1111/odi.12676</t>
  </si>
  <si>
    <t>BhushanB_2019</t>
  </si>
  <si>
    <t>PRJNA419274</t>
  </si>
  <si>
    <t>https://doi.org/10.1080/20002297.2019.1581513</t>
  </si>
  <si>
    <t>BritoIL_2016</t>
  </si>
  <si>
    <t>FJI</t>
  </si>
  <si>
    <t>WGS</t>
  </si>
  <si>
    <t>PRJNA217052</t>
  </si>
  <si>
    <t>https://doi.org/10.1038/nature18927</t>
  </si>
  <si>
    <t>CameronS_2015</t>
  </si>
  <si>
    <t>UK</t>
  </si>
  <si>
    <t>PRJEB9010</t>
  </si>
  <si>
    <t>https://doi.org/10.1093/femsec/fiv091</t>
  </si>
  <si>
    <t>CaselliE_2020</t>
  </si>
  <si>
    <t>ITA</t>
  </si>
  <si>
    <t>PRJEB36291</t>
  </si>
  <si>
    <t>https://doi.org/10.1186/s12866-020-01801-y</t>
  </si>
  <si>
    <t>ChaudhariD_2020</t>
  </si>
  <si>
    <t>PRJNA438728</t>
  </si>
  <si>
    <t>https://doi.org/10.1038/s41598-020-62195-5</t>
  </si>
  <si>
    <t>ChenL_2022</t>
  </si>
  <si>
    <t>SGP</t>
  </si>
  <si>
    <t>PRJNA762543</t>
  </si>
  <si>
    <t>https://doi.org/10.1080/19490976.2022.2070392</t>
  </si>
  <si>
    <t>CheungM_2022</t>
  </si>
  <si>
    <t>CHN</t>
  </si>
  <si>
    <t>PRJNA778006</t>
  </si>
  <si>
    <t>https://doi.org/10.1128/spectrum.02410-21</t>
  </si>
  <si>
    <t>CheungM_2022_exposure</t>
  </si>
  <si>
    <t>CheungM_2023</t>
  </si>
  <si>
    <t>PRJNA834584</t>
  </si>
  <si>
    <t>https://doi.org/10.1128/spectrum.02814-22</t>
  </si>
  <si>
    <t>CheungM_2023_exposure</t>
  </si>
  <si>
    <t>ClementeJ_2015</t>
  </si>
  <si>
    <t>VEN</t>
  </si>
  <si>
    <t>PRJNA245336</t>
  </si>
  <si>
    <t>https://doi.org/10.1126/sciadv.1500183</t>
  </si>
  <si>
    <t>ColladoM_2018</t>
  </si>
  <si>
    <t>ESP</t>
  </si>
  <si>
    <t>PRJNA361501</t>
  </si>
  <si>
    <t>https://doi.org/10.1096/fj.201700697RR</t>
  </si>
  <si>
    <t>DavidL_2014</t>
  </si>
  <si>
    <t>USA</t>
  </si>
  <si>
    <t>PRJEB6518</t>
  </si>
  <si>
    <t>https://doi.org/10.1186/gb-2014-15-7-r89</t>
  </si>
  <si>
    <t>FanX_2018b_exposure</t>
  </si>
  <si>
    <t>PRJNA434300; PRJNA434312</t>
  </si>
  <si>
    <t>https://doi.org/10.1186/s40168-018-0448-x</t>
  </si>
  <si>
    <t>FilippisF_2015</t>
  </si>
  <si>
    <t>PRJNA236367</t>
  </si>
  <si>
    <t>https://doi.org/10.1371/journal.pone.0112373</t>
  </si>
  <si>
    <t>GoltsmanD_2018a</t>
  </si>
  <si>
    <t>PRJNA288562</t>
  </si>
  <si>
    <t>10.1073/pnas.1502875112</t>
  </si>
  <si>
    <t>GoltsmanD_2018b</t>
  </si>
  <si>
    <t>GuoS_2022</t>
  </si>
  <si>
    <t>PRJNA649074; PRJNA557511</t>
  </si>
  <si>
    <t>https://doi.org/10.1042/BSR20210694</t>
  </si>
  <si>
    <t>HijaziK_2020</t>
  </si>
  <si>
    <t>GBR</t>
  </si>
  <si>
    <t>PRJNA609244</t>
  </si>
  <si>
    <t>https://doi.org/10.1111/odi.13420</t>
  </si>
  <si>
    <t>JeongJ_2023</t>
  </si>
  <si>
    <t>KOR</t>
  </si>
  <si>
    <t>PRJNA940351</t>
  </si>
  <si>
    <t>https://doi.org/10.1080/20002297.2023.2186591</t>
  </si>
  <si>
    <t>JulianM_2017_exposure</t>
  </si>
  <si>
    <t>PRJNA330897</t>
  </si>
  <si>
    <t>http://dx.doi.org/10.1097/MD.0000000000005821</t>
  </si>
  <si>
    <t>KahharovaD_2019</t>
  </si>
  <si>
    <t>PRJNA575641</t>
  </si>
  <si>
    <t>https://doi.org/10.1177/0022034519889015</t>
  </si>
  <si>
    <t>KumpitschC_2020_exposure</t>
  </si>
  <si>
    <t>AUT</t>
  </si>
  <si>
    <t>PRJEB37299</t>
  </si>
  <si>
    <t>https://doi.org/10.1038/s41598-020-73515-0</t>
  </si>
  <si>
    <t>LaiolaM_2020</t>
  </si>
  <si>
    <t>PRJNA605164</t>
  </si>
  <si>
    <t>https://doi.org/10.1128/AEM.00777-20</t>
  </si>
  <si>
    <t>LassalleF_2017</t>
  </si>
  <si>
    <t>PHL</t>
  </si>
  <si>
    <t>PRJEB14383</t>
  </si>
  <si>
    <t>https://doi.org/10.1111/mec.14435</t>
  </si>
  <si>
    <t>LermaA_2020</t>
  </si>
  <si>
    <t>PRJNA612815</t>
  </si>
  <si>
    <t>https://doi.org/10.1038/s41598-020-70141-8</t>
  </si>
  <si>
    <t>LiK_2022</t>
  </si>
  <si>
    <t>PRJNA847970</t>
  </si>
  <si>
    <t>https://doi.org/10.3389/fcimb.2022.966361</t>
  </si>
  <si>
    <t>LiK_2022_exposure</t>
  </si>
  <si>
    <t>LimM_2023</t>
  </si>
  <si>
    <t>PRJEB57967</t>
  </si>
  <si>
    <t>https://doi.org/10.3389/fcimb.2023.1114014</t>
  </si>
  <si>
    <t>LokmerA_2020</t>
  </si>
  <si>
    <t>CMR</t>
  </si>
  <si>
    <t>PRJEB30836</t>
  </si>
  <si>
    <t>https://doi.org/10.1038/s41598-020-59849-9</t>
  </si>
  <si>
    <t>LokmerA_2020_exposure</t>
  </si>
  <si>
    <t>MakinenA_2023_exposure</t>
  </si>
  <si>
    <t>FIN</t>
  </si>
  <si>
    <t>PRJNA997108</t>
  </si>
  <si>
    <t>https://doi.org/10.1186/s40168-023-01613-y</t>
  </si>
  <si>
    <t>MarotzC_2022Saa</t>
  </si>
  <si>
    <t>PRJEB50306</t>
  </si>
  <si>
    <t>https://doi.org/10.1038/s41522-022-00289-w</t>
  </si>
  <si>
    <t>MarotzC_2022Sab</t>
  </si>
  <si>
    <t>MaruyamaH_2021</t>
  </si>
  <si>
    <t>JPN</t>
  </si>
  <si>
    <t>PRJDB10589</t>
  </si>
  <si>
    <t>https://doi.org/10.12688/f1000research.27502.2</t>
  </si>
  <si>
    <t>NearingJ_2020</t>
  </si>
  <si>
    <t>CAN</t>
  </si>
  <si>
    <t>PRJEB38175</t>
  </si>
  <si>
    <t>https://doi.org/10.1128/msphere.00451-20</t>
  </si>
  <si>
    <t>OnyangoS_2020</t>
  </si>
  <si>
    <t>BEL</t>
  </si>
  <si>
    <t>PRJNA601417</t>
  </si>
  <si>
    <t>https://doi.org/10.1128/AEM.01170-20</t>
  </si>
  <si>
    <t>OzgaA_2016</t>
  </si>
  <si>
    <t>PRJNA292800</t>
  </si>
  <si>
    <t>https://doi.org/10.1002/ajpa.23033</t>
  </si>
  <si>
    <t>PooleA_2019</t>
  </si>
  <si>
    <t>PRJEB27304</t>
  </si>
  <si>
    <t>https://doi.org/10.1016/j.chom.2019.03.001</t>
  </si>
  <si>
    <t>PushalkarS_2020</t>
  </si>
  <si>
    <t>PRJNA602902</t>
  </si>
  <si>
    <t>https://doi.org/10.1016/j.isci.2020.100884</t>
  </si>
  <si>
    <t>PushalkarS_2020_exposure</t>
  </si>
  <si>
    <t>SohailM_2019</t>
  </si>
  <si>
    <t>QAT</t>
  </si>
  <si>
    <t>PRJNA587625</t>
  </si>
  <si>
    <t>https://doi.org/10.3390/microorganisms7120645</t>
  </si>
  <si>
    <t>StewartC_2018_exposure</t>
  </si>
  <si>
    <t>PRJNA413706</t>
  </si>
  <si>
    <t>https://doi.org/10.7717/peerj.4693</t>
  </si>
  <si>
    <t>TakayasuL_2017</t>
  </si>
  <si>
    <t>PRJDB5315, PRJDB4115</t>
  </si>
  <si>
    <t>https://doi.org/10.1093/dnares/dsx001</t>
  </si>
  <si>
    <t>TakeshitaT_2014</t>
  </si>
  <si>
    <t>JPN, KOR</t>
  </si>
  <si>
    <t>PRJDB2877, PRJDB2878, PRJDB2879</t>
  </si>
  <si>
    <t>https://doi.org/10.1038/srep06990</t>
  </si>
  <si>
    <t>TramiceA_2022</t>
  </si>
  <si>
    <t>PRJNA897843</t>
  </si>
  <si>
    <t>https://doi.org/10.1038/s41598-022-26528-w</t>
  </si>
  <si>
    <t>TramiceA_2022_exposure</t>
  </si>
  <si>
    <t>VogtmannE_2019</t>
  </si>
  <si>
    <t>PRJEB23323</t>
  </si>
  <si>
    <t>https://doi.org/10.1158/1055-9965.EPI-18-0312</t>
  </si>
  <si>
    <t>VoigtA_2015B</t>
  </si>
  <si>
    <t>DEU</t>
  </si>
  <si>
    <t>PRJEB28422</t>
  </si>
  <si>
    <t>https://doi.org/10.7554/eLife.42693</t>
  </si>
  <si>
    <t>WillisJ_2018</t>
  </si>
  <si>
    <t>PRJNA427101</t>
  </si>
  <si>
    <t>https://doi.org/10.1186/s40168-018-0592-3</t>
  </si>
  <si>
    <t>WillisJ_2022</t>
  </si>
  <si>
    <t>PRJNA667146</t>
  </si>
  <si>
    <t>https://doi.org/10.1038/s41522-022-00279-y</t>
  </si>
  <si>
    <t>WolfA_2017_exposure</t>
  </si>
  <si>
    <t>PRJEB18476</t>
  </si>
  <si>
    <t>https://doi.org/10.1038/s41598-017-06361-2</t>
  </si>
  <si>
    <t>YanoY_2020</t>
  </si>
  <si>
    <t>PRJNA634162</t>
  </si>
  <si>
    <t>https://doi.org/10.1128/mSystems.00156-20</t>
  </si>
  <si>
    <t>YeoL_2019</t>
  </si>
  <si>
    <t>MYS</t>
  </si>
  <si>
    <t>PRJNA515166</t>
  </si>
  <si>
    <t>https://doi.org/10.12688/f1000research.17706.3</t>
  </si>
  <si>
    <t>YeoL_2019_exposure</t>
  </si>
  <si>
    <t>YuG_2016</t>
  </si>
  <si>
    <t>PRJNA316469</t>
  </si>
  <si>
    <t>https://doi.org/10.1158/1055-9965.EPI-16-0538</t>
  </si>
  <si>
    <t>YuG_2016_exposure</t>
  </si>
  <si>
    <t>ZauraE_2017</t>
  </si>
  <si>
    <t>NLD</t>
  </si>
  <si>
    <t>PRJNA348169</t>
  </si>
  <si>
    <t>https://doi.org/10.1038/ismej.2016.199</t>
  </si>
  <si>
    <t>ZhuC_2020a</t>
  </si>
  <si>
    <t>PRJNA586723</t>
  </si>
  <si>
    <t>http://dx.doi.org/10.21037/atm-20-393</t>
  </si>
  <si>
    <t>ZhuC_2020b</t>
  </si>
  <si>
    <t>PRJNA534340</t>
  </si>
  <si>
    <t>https://doi.org/10.1177/0022034520917155</t>
  </si>
  <si>
    <t>ZhuJ_2021_Yunnan</t>
  </si>
  <si>
    <t>CNP0001221</t>
  </si>
  <si>
    <t>https://doi.org/10.1016/j.gpb.2021.05.001</t>
  </si>
  <si>
    <t>BostanciN_2021</t>
  </si>
  <si>
    <t>DNK</t>
  </si>
  <si>
    <t>PRJEB37731</t>
  </si>
  <si>
    <t>https://doi.org/10.3389/fcimb.2021.625229</t>
  </si>
  <si>
    <t>MenonR_2019</t>
  </si>
  <si>
    <t>PRJNA586897</t>
  </si>
  <si>
    <t>https://doi.org/10.1038/s41598-019-55056-3</t>
  </si>
  <si>
    <t>AbdelbaryM_2022</t>
  </si>
  <si>
    <t>PRJNA855620</t>
  </si>
  <si>
    <t>https://doi.org/10.3389/fcimb.2022.1010853</t>
  </si>
  <si>
    <t>ArmstrongA_2023a</t>
  </si>
  <si>
    <t>PRJEB62655</t>
  </si>
  <si>
    <t>https://doi.org/10.1016/j.ebiom.2023.104731</t>
  </si>
  <si>
    <t>ArmstrongA_2023b</t>
  </si>
  <si>
    <t>PRJEB62577</t>
  </si>
  <si>
    <t>BelstromD_2017</t>
  </si>
  <si>
    <t>PRJNA396840</t>
  </si>
  <si>
    <t>https://doi.org/10.1038/s41522-017-0031-4</t>
  </si>
  <si>
    <t>BelstromD_2021</t>
  </si>
  <si>
    <t>PRJNA678453</t>
  </si>
  <si>
    <t>https://doi.org/10.1038/s41522-021-00247-y</t>
  </si>
  <si>
    <t>DebeliusJ_2020</t>
  </si>
  <si>
    <t>PRJEB37445</t>
  </si>
  <si>
    <t>https://doi.org/10.1128/mSystems.00065-20</t>
  </si>
  <si>
    <t>FanX_2018b</t>
  </si>
  <si>
    <t>GuptaA_2022</t>
  </si>
  <si>
    <t>PRJNA780671</t>
  </si>
  <si>
    <t>https://doi.org/10.1016/j.micres.2022.127055</t>
  </si>
  <si>
    <t>HuangC_2022</t>
  </si>
  <si>
    <t>PRJNA837028</t>
  </si>
  <si>
    <t>https://doi.org/10.3389/fneur.2022.938360</t>
  </si>
  <si>
    <t>JiangQ_2019</t>
  </si>
  <si>
    <t>PRJNA495719</t>
  </si>
  <si>
    <t>https://doi.org/10.3389/fcimb.2018.00442</t>
  </si>
  <si>
    <t>LeeW_2017</t>
  </si>
  <si>
    <t>PRJNA386665</t>
  </si>
  <si>
    <t>https://doi.org/10.1038/s41598-017-16418-x</t>
  </si>
  <si>
    <t>LeeY_2025</t>
  </si>
  <si>
    <t>PRJNA1148754</t>
  </si>
  <si>
    <t>https://doi.org/10.1016/j.job.2024.100591</t>
  </si>
  <si>
    <t>LinM_2020</t>
  </si>
  <si>
    <t>PRJNA578492</t>
  </si>
  <si>
    <t>https://doi.org/10.3389/fcimb.2020.00124</t>
  </si>
  <si>
    <t>LindheimL_2016</t>
  </si>
  <si>
    <t>PRJNA326866</t>
  </si>
  <si>
    <t>https://doi.org/10.3389/fmicb.2016.01270</t>
  </si>
  <si>
    <t>LiuY_2019</t>
  </si>
  <si>
    <t>PRJNA484857</t>
  </si>
  <si>
    <t>http://dx.doi.org/doi:10.4317/medoral.23041</t>
  </si>
  <si>
    <t>LundmarkA_2019</t>
  </si>
  <si>
    <t>SWE</t>
  </si>
  <si>
    <t>PRJEB21767</t>
  </si>
  <si>
    <t>https://doi.org/10.3389/fcimb.2019.00216</t>
  </si>
  <si>
    <t>MoskovitzM_2021</t>
  </si>
  <si>
    <t>ISR</t>
  </si>
  <si>
    <t>PRJNA759836</t>
  </si>
  <si>
    <t>https://doi.org/10.3389/fmicb.2021.756808</t>
  </si>
  <si>
    <t>NagataN_2022</t>
  </si>
  <si>
    <t>PRJNA832909</t>
  </si>
  <si>
    <t>https://doi.org/10.1053/j.gastro.2022.03.054</t>
  </si>
  <si>
    <t>RafiqulI_2022</t>
  </si>
  <si>
    <t>BGD</t>
  </si>
  <si>
    <t>PRJNA767939</t>
  </si>
  <si>
    <t>https://doi.org/10.3389/fmed.2022.821777</t>
  </si>
  <si>
    <t>RiveraV_2025</t>
  </si>
  <si>
    <t>PRI</t>
  </si>
  <si>
    <t>PRJEB86129</t>
  </si>
  <si>
    <t>https://doi.org/10.1038/s41598-025-13262-2</t>
  </si>
  <si>
    <t>RussoE_2018</t>
  </si>
  <si>
    <t>PRJNA356414</t>
  </si>
  <si>
    <t>https://doi.org/10.3389/fmicb.2017.02699</t>
  </si>
  <si>
    <t>TakahashiY_2019</t>
  </si>
  <si>
    <t>PRJNA525734</t>
  </si>
  <si>
    <t>https://doi.org/10.1016/j.job.2019.03.003</t>
  </si>
  <si>
    <t>TianN_2017</t>
  </si>
  <si>
    <t>PRJNA321349</t>
  </si>
  <si>
    <t>https://doi.org/10.1128/AEM.03330-16</t>
  </si>
  <si>
    <t>TongY_2019</t>
  </si>
  <si>
    <t>PRJNA578951</t>
  </si>
  <si>
    <t>https://doi.org/10.3389/fcimb.2019.00475</t>
  </si>
  <si>
    <t>WangB_2020</t>
  </si>
  <si>
    <t>PRJEB38373</t>
  </si>
  <si>
    <t>https://doi.org/10.1152/ajpendo.00234.2020</t>
  </si>
  <si>
    <t>WangK_2016</t>
  </si>
  <si>
    <t>PRJNA306560</t>
  </si>
  <si>
    <t>https://doi.org/10.1038/srep22943</t>
  </si>
  <si>
    <t>WangQ_2019</t>
  </si>
  <si>
    <t>PRJNA587078</t>
  </si>
  <si>
    <t>https://doi.org/10.1038/s41598-019-55667-w</t>
  </si>
  <si>
    <t>WangT_2018</t>
  </si>
  <si>
    <t>PRJNA414355</t>
  </si>
  <si>
    <t>https://doi.org/10.1371/journal.pone.0203503</t>
  </si>
  <si>
    <t>WangX_2020</t>
  </si>
  <si>
    <t>PRJNA556311; PRJNA555458</t>
  </si>
  <si>
    <t>https://doi.org/10.3389/fmicb.2020.00629</t>
  </si>
  <si>
    <t>YuF_2020</t>
  </si>
  <si>
    <t>PRJNA542018</t>
  </si>
  <si>
    <t>https://doi.org/10.1186/s12866-020-01733-7</t>
  </si>
  <si>
    <t>ZellerG_2014B</t>
  </si>
  <si>
    <t>FRA</t>
  </si>
  <si>
    <t>ZhengX_2017</t>
  </si>
  <si>
    <t>PRJNA339212</t>
  </si>
  <si>
    <t>https://doi.org/10.1038/s41598-017-07042-w</t>
  </si>
  <si>
    <t>ZhuC_2018</t>
  </si>
  <si>
    <t>PRJNA493618</t>
  </si>
  <si>
    <t>https://doi.org/10.3389/fcimb.2018.00423</t>
  </si>
  <si>
    <t>ZiganshinaE_2020</t>
  </si>
  <si>
    <t>RUS</t>
  </si>
  <si>
    <t>PRJNA598080</t>
  </si>
  <si>
    <t>https://doi.org/10.1155/2020/2681791</t>
  </si>
  <si>
    <t>MakinenA_2023</t>
  </si>
  <si>
    <t>JulianM_2017</t>
  </si>
  <si>
    <t>KumpitschC_2020</t>
  </si>
  <si>
    <t>WolfA_2017</t>
  </si>
  <si>
    <t>DanckertN_2024</t>
  </si>
  <si>
    <t>PRJNA957107</t>
  </si>
  <si>
    <t>https://doi.org/10.1093/rheumatology/keae045</t>
  </si>
  <si>
    <t>MedeirosM_2023</t>
  </si>
  <si>
    <t>PRJNA906710</t>
  </si>
  <si>
    <t>https://doi.org/10.1186/s40168-023-01677-w</t>
  </si>
  <si>
    <t>RaychaudhuriS_2025</t>
  </si>
  <si>
    <t>PRJNA1265886</t>
  </si>
  <si>
    <t>https://doi.org/10.1038/s41522-025-00725-7</t>
  </si>
  <si>
    <t>ChenC_2018</t>
  </si>
  <si>
    <t>ChenC_2018_exposure</t>
  </si>
  <si>
    <t>FerrerM_2020</t>
  </si>
  <si>
    <t>GalimanasV_2014</t>
  </si>
  <si>
    <t>GanesanS_2020_exposure</t>
  </si>
  <si>
    <t>HMP_2012</t>
  </si>
  <si>
    <t>HavsedK_2021</t>
  </si>
  <si>
    <t>JesusV_2021</t>
  </si>
  <si>
    <t>JiangW_2015</t>
  </si>
  <si>
    <t>NajmanovaL_2021</t>
  </si>
  <si>
    <t>PangL_2021</t>
  </si>
  <si>
    <t>ProctorD_2018</t>
  </si>
  <si>
    <t>SantosA_2021</t>
  </si>
  <si>
    <t>ShaiberA_2020a</t>
  </si>
  <si>
    <t>ShaiberA_2020b</t>
  </si>
  <si>
    <t>XiaoC_2016</t>
  </si>
  <si>
    <t>ZhangX_2015</t>
  </si>
  <si>
    <t>ZhangY_2022</t>
  </si>
  <si>
    <t>ZhengH_2015</t>
  </si>
  <si>
    <t>supragingival_subsite</t>
  </si>
  <si>
    <t>CZE</t>
  </si>
  <si>
    <t>PRT</t>
  </si>
  <si>
    <t>PRJNA321534</t>
  </si>
  <si>
    <t>https://doi.org/10.1038/s41396-017-0037-1</t>
  </si>
  <si>
    <t>PRJNA629283</t>
  </si>
  <si>
    <t>https://doi.org/10.3389/fcimb.2020.00465</t>
  </si>
  <si>
    <t>PRJNA544061; PRJNA548383; PRJNA508385</t>
  </si>
  <si>
    <t>https://doi.org/10.1126/sciadv.aaz0108</t>
  </si>
  <si>
    <t>https://doi.org/10.1038/nature11234</t>
  </si>
  <si>
    <t>PRJNA267061</t>
  </si>
  <si>
    <t>https://doi.org/10.1371/journal.pone.0124631</t>
  </si>
  <si>
    <t>PRJNA625082</t>
  </si>
  <si>
    <t>https://doi.org/10.1186/s13059-020-02195-w</t>
  </si>
  <si>
    <t>PRJNA826664</t>
  </si>
  <si>
    <t>https://doi.org/10.3389/fcimb.2022.1016523</t>
  </si>
  <si>
    <t>PRJEB6047</t>
  </si>
  <si>
    <t>https://doi.org/10.1186/2049-2618-2-32</t>
  </si>
  <si>
    <t>PRJNA681486</t>
  </si>
  <si>
    <t>https://doi.org/10.3389/fcimb.2021.716493</t>
  </si>
  <si>
    <t>PRJNA714139; PRJNA555320</t>
  </si>
  <si>
    <t>https://doi.org/10.3389/fmicb.2021.683685</t>
  </si>
  <si>
    <t>PRJNA291567</t>
  </si>
  <si>
    <t>https://doi.org/10.3389/fcimb.2021.602643</t>
  </si>
  <si>
    <t>PRJNA766357</t>
  </si>
  <si>
    <t>10.3389/fcimb.2021.740981</t>
  </si>
  <si>
    <t>PRJNA362643</t>
  </si>
  <si>
    <t>https://doi.org/10.1038/s41467-018-02900-1</t>
  </si>
  <si>
    <t>PRJNA679485</t>
  </si>
  <si>
    <t>https://doi.org/10.3389/fmicb.2021.610370</t>
  </si>
  <si>
    <t>PRJNA325084</t>
  </si>
  <si>
    <t>https://doi.org/10.3389/fmicb.2016.01145</t>
  </si>
  <si>
    <t>PRJEB6997</t>
  </si>
  <si>
    <t>https://doi.org/10.1038/nm.3914</t>
  </si>
  <si>
    <t>PRJNA253517</t>
  </si>
  <si>
    <t>https://doi.org/10.1038/srep10948</t>
  </si>
  <si>
    <t>BassisC_2014_exposure</t>
  </si>
  <si>
    <t>BurchamZ_2020</t>
  </si>
  <si>
    <t>ThomasA_2014_exposure</t>
  </si>
  <si>
    <t>StehlikovaZ_2019</t>
  </si>
  <si>
    <t>buccal_palate_other_surface_subsite</t>
  </si>
  <si>
    <t>PRJNA248297</t>
  </si>
  <si>
    <t>https://doi.org/10.1186/2049-2618-2-27</t>
  </si>
  <si>
    <t>PRJEB33119</t>
  </si>
  <si>
    <t>https://doi.org/10.1038/s41598-020-59016-0</t>
  </si>
  <si>
    <t>BRA</t>
  </si>
  <si>
    <t>PRJNA255332</t>
  </si>
  <si>
    <t>https://doi.org/10.1186/s12866-014-0250-2</t>
  </si>
  <si>
    <t>PRJNA521448</t>
  </si>
  <si>
    <t>https://doi.org/10.3390/microorganisms7120636</t>
  </si>
  <si>
    <t>subgingival_subsite</t>
  </si>
  <si>
    <t>GanesanS_2020</t>
  </si>
  <si>
    <t>ShoerS_2023</t>
  </si>
  <si>
    <t>PRJEB64861</t>
  </si>
  <si>
    <t>https://doi.org/10.1038/s41467-023-41042-x</t>
  </si>
  <si>
    <t>AndersonA_2013</t>
  </si>
  <si>
    <t>SDN</t>
  </si>
  <si>
    <t>PRJNA217469</t>
  </si>
  <si>
    <t>https://dx.doi.org/10.1371%2Fjournal.pone.0084960</t>
  </si>
  <si>
    <t>GhensiP_2019</t>
  </si>
  <si>
    <t>PRJNA547717</t>
  </si>
  <si>
    <t>https://doi.org/10.1038/s41522-020-00155-7</t>
  </si>
  <si>
    <t>LenartovaM_2021</t>
  </si>
  <si>
    <t>USA, SVK, MEX, KOR, HUN, UKR, VNM, SAU, ARM, RUS</t>
  </si>
  <si>
    <t>PRJNA670573</t>
  </si>
  <si>
    <t>https://doi.org/10.3389/fcimb.2021.629723</t>
  </si>
  <si>
    <t>MarotzC_2022Su</t>
  </si>
  <si>
    <t>PRJEB50261</t>
  </si>
  <si>
    <t>MonteiroM_2021</t>
  </si>
  <si>
    <t>PRJNA606501</t>
  </si>
  <si>
    <t>https://doi.org/10.1038/s41598-020-80372-4</t>
  </si>
  <si>
    <t>tongue_tonsil_subsite</t>
  </si>
  <si>
    <t>FerrettiP_2018</t>
  </si>
  <si>
    <t>PRJNA352475</t>
  </si>
  <si>
    <t>https://doi.org/10.1016/j.chom.2018.06.005</t>
  </si>
  <si>
    <t>FloresG_2014</t>
  </si>
  <si>
    <t>PRJEB5726</t>
  </si>
  <si>
    <t>https://doi.org/10.1186/s13059-014-0531-y</t>
  </si>
  <si>
    <t>HalboubE_2020</t>
  </si>
  <si>
    <t>SAU</t>
  </si>
  <si>
    <t>PRJNA605810</t>
  </si>
  <si>
    <t>https://doi.org/10.1186/s12866-020-01883-8</t>
  </si>
  <si>
    <t>HalboubE_2020_exposure</t>
  </si>
  <si>
    <t>LarsonP_2022</t>
  </si>
  <si>
    <t>PRJNA699281</t>
  </si>
  <si>
    <t>https://doi.org/10.1038/s43587-022-00287-9</t>
  </si>
  <si>
    <t>WidyarmanA_2021</t>
  </si>
  <si>
    <t>IDN</t>
  </si>
  <si>
    <t>PRJNA745286</t>
  </si>
  <si>
    <t>https://doi.org/10.3389/froh.2021.738306</t>
  </si>
  <si>
    <t>SarkarP_2021</t>
  </si>
  <si>
    <t>PRJNA666746</t>
  </si>
  <si>
    <t>https://doi.org/10.3389/fonc.2021.614448</t>
  </si>
  <si>
    <t>TangB_2023</t>
  </si>
  <si>
    <t>PRJNA873889</t>
  </si>
  <si>
    <t>https://doi.org/10.1016/j.heliyon.2023.e13224</t>
  </si>
  <si>
    <t>Accession No.</t>
  </si>
  <si>
    <t>FanX_2018a</t>
  </si>
  <si>
    <t>SchmidtT_2019B</t>
  </si>
  <si>
    <t>LUX</t>
  </si>
  <si>
    <t>ZhangT_2020</t>
  </si>
  <si>
    <t>PRJNA289586</t>
  </si>
  <si>
    <t>PRJNA612402</t>
  </si>
  <si>
    <t>https://doi.org/10.3389/fcimb.2020.544704</t>
  </si>
  <si>
    <t>ChenJ_2021</t>
  </si>
  <si>
    <t>ChenX_2025</t>
  </si>
  <si>
    <t>CirsteaM_2022</t>
  </si>
  <si>
    <t>FinkelsteinS_2025</t>
  </si>
  <si>
    <t>IglesiasA_2024</t>
  </si>
  <si>
    <t>PRT, ESP</t>
  </si>
  <si>
    <t>JiY_2020</t>
  </si>
  <si>
    <t>LicandroH_2023</t>
  </si>
  <si>
    <t>LiuY_2021</t>
  </si>
  <si>
    <t>NearingJ_2023</t>
  </si>
  <si>
    <t>NiuC_2020</t>
  </si>
  <si>
    <t>RelvasM_2021</t>
  </si>
  <si>
    <t>StahringerS_2012</t>
  </si>
  <si>
    <t>TakayanagiK_2023</t>
  </si>
  <si>
    <t>WuZ_2025</t>
  </si>
  <si>
    <t>ZhangL_2023</t>
  </si>
  <si>
    <t>PRJEB39064</t>
  </si>
  <si>
    <t>https://doi.org/10.3389/fcimb.2021.663068</t>
  </si>
  <si>
    <t>PRJNA1161685</t>
  </si>
  <si>
    <t>https://doi.org/10.1080/20002297.2025.2489603</t>
  </si>
  <si>
    <t>PRJNA770746</t>
  </si>
  <si>
    <t>https://doi.org/10.3233/JAD-215520</t>
  </si>
  <si>
    <t>PRJEB58050</t>
  </si>
  <si>
    <t>https://doi.org/10.1101/2025.09.29.679276</t>
  </si>
  <si>
    <t>PRJNA774299, PRJNA774981</t>
  </si>
  <si>
    <t>https://doi.org/10.3389/fcimb.2024.1405699</t>
  </si>
  <si>
    <t>PRJNA503603</t>
  </si>
  <si>
    <t>https://doi.org/10.1186/s12903-020-01070-1</t>
  </si>
  <si>
    <t>PRJEB60621</t>
  </si>
  <si>
    <t>https://doi.org/10.1038/s41598-023-47636-1</t>
  </si>
  <si>
    <t>PRJNA609009</t>
  </si>
  <si>
    <t>https://doi.org/10.1016/j.archoralbio.2021.105118</t>
  </si>
  <si>
    <t>PRJEB56605</t>
  </si>
  <si>
    <t>https://doi.org/10.1038/s41522-023-00391-7</t>
  </si>
  <si>
    <t>PRJNA395436</t>
  </si>
  <si>
    <t>https://doi.org/10.21203/rs.3.rs-54822/v1</t>
  </si>
  <si>
    <t>PRJNA623352</t>
  </si>
  <si>
    <t>https://doi.org/10.1038/s41598-020-79875-x</t>
  </si>
  <si>
    <t>PRJEB2961</t>
  </si>
  <si>
    <t>https://doi.org/10.1101/gr.140608.112</t>
  </si>
  <si>
    <t>PRJNA1011244</t>
  </si>
  <si>
    <t>https://doi.org/10.1038/s41598-023-45755-3</t>
  </si>
  <si>
    <t>PRJCA039065</t>
  </si>
  <si>
    <t>https://doi.org/10.3389/fmicb.2025.1658693</t>
  </si>
  <si>
    <t>PRJNA957055</t>
  </si>
  <si>
    <t>https://doi.org/10.3389/fmicb.2023.1182346</t>
  </si>
  <si>
    <r>
      <t>Details of the</t>
    </r>
    <r>
      <rPr>
        <b/>
        <sz val="12"/>
        <color theme="5" tint="-0.249977111117893"/>
        <rFont val="Calibri"/>
        <family val="2"/>
        <scheme val="minor"/>
      </rPr>
      <t xml:space="preserve"> 19 validation study cohorts</t>
    </r>
    <r>
      <rPr>
        <b/>
        <sz val="12"/>
        <color theme="1"/>
        <rFont val="Calibri"/>
        <family val="2"/>
        <scheme val="minor"/>
      </rPr>
      <t xml:space="preserve"> from </t>
    </r>
    <r>
      <rPr>
        <b/>
        <sz val="12"/>
        <color theme="5" tint="-0.249977111117893"/>
        <rFont val="Calibri"/>
        <family val="2"/>
        <scheme val="minor"/>
      </rPr>
      <t>Saliva-Sputum-Oral Wash Subsite</t>
    </r>
    <r>
      <rPr>
        <b/>
        <sz val="12"/>
        <color theme="1"/>
        <rFont val="Calibri"/>
        <family val="2"/>
        <scheme val="minor"/>
      </rPr>
      <t xml:space="preserve"> validating </t>
    </r>
    <r>
      <rPr>
        <b/>
        <sz val="12"/>
        <color theme="5" tint="-0.249977111117893"/>
        <rFont val="Calibri"/>
        <family val="2"/>
        <scheme val="minor"/>
      </rPr>
      <t>499 taxa</t>
    </r>
    <r>
      <rPr>
        <b/>
        <sz val="12"/>
        <color theme="1"/>
        <rFont val="Calibri"/>
        <family val="2"/>
        <scheme val="minor"/>
      </rPr>
      <t xml:space="preserve"> with three properties of Core-Association, Stability-Association and Health-Association.</t>
    </r>
  </si>
  <si>
    <t>Total</t>
  </si>
  <si>
    <t>Study Cohort</t>
  </si>
  <si>
    <t>FanX_2018</t>
  </si>
  <si>
    <t>GoltsmanD_2018</t>
  </si>
  <si>
    <t>MarotzC_2022</t>
  </si>
  <si>
    <t>StewartC_2018</t>
  </si>
  <si>
    <t>ZhuC_2020</t>
  </si>
  <si>
    <t>ZellerG_2014</t>
  </si>
  <si>
    <t>ArmstrongA_2023</t>
  </si>
  <si>
    <t>ZhuJ_2021</t>
  </si>
  <si>
    <t>VoigtA_2015</t>
  </si>
  <si>
    <t>ShaiberA_2020</t>
  </si>
  <si>
    <t>BassisC_2014</t>
  </si>
  <si>
    <t>ThomasA_2014</t>
  </si>
  <si>
    <t>https://doi.org/10.7554/eLife.42693; https://doi.org/10.1186/s40168-022-01435-4</t>
  </si>
  <si>
    <t>SchmidtT_2019 and KunathB_2022</t>
  </si>
  <si>
    <t>Control Count</t>
  </si>
  <si>
    <t>Disease Count</t>
  </si>
  <si>
    <t>10*</t>
  </si>
  <si>
    <t>33*</t>
  </si>
  <si>
    <t>11*</t>
  </si>
  <si>
    <t>* These samples are already counted in their exposure studies (JulianM_2017_exposure, KumpitschC_2020_exposure, WolfA_2017_exposure)</t>
  </si>
  <si>
    <t>68**</t>
  </si>
  <si>
    <t>** 34 samples are diseases samples while 34 are post-treatment samples.Together we have considered here as Disease, however in the downstream analysis these 34 samples are neither considered control nor diseased as they were used only in longitudinal analysis (Stability Association Analysis)</t>
  </si>
  <si>
    <r>
      <t xml:space="preserve">Details of the </t>
    </r>
    <r>
      <rPr>
        <b/>
        <sz val="12"/>
        <color theme="5" tint="-0.249977111117893"/>
        <rFont val="Calibri"/>
        <family val="2"/>
        <scheme val="minor"/>
      </rPr>
      <t>105 discovery study cohorts</t>
    </r>
    <r>
      <rPr>
        <b/>
        <sz val="12"/>
        <color theme="1"/>
        <rFont val="Calibri"/>
        <family val="2"/>
        <scheme val="minor"/>
      </rPr>
      <t xml:space="preserve"> from </t>
    </r>
    <r>
      <rPr>
        <b/>
        <sz val="12"/>
        <color theme="5" tint="-0.249977111117893"/>
        <rFont val="Calibri"/>
        <family val="2"/>
        <scheme val="minor"/>
      </rPr>
      <t>Saliva-Sputum-Oral Wash Subsite</t>
    </r>
    <r>
      <rPr>
        <b/>
        <sz val="12"/>
        <color theme="1"/>
        <rFont val="Calibri"/>
        <family val="2"/>
        <scheme val="minor"/>
      </rPr>
      <t xml:space="preserve"> investigated for computing the association of the </t>
    </r>
    <r>
      <rPr>
        <b/>
        <sz val="12"/>
        <color theme="5" tint="-0.249977111117893"/>
        <rFont val="Calibri"/>
        <family val="2"/>
        <scheme val="minor"/>
      </rPr>
      <t>499 taxa</t>
    </r>
    <r>
      <rPr>
        <b/>
        <sz val="12"/>
        <color theme="1"/>
        <rFont val="Calibri"/>
        <family val="2"/>
        <scheme val="minor"/>
      </rPr>
      <t xml:space="preserve"> with three properties of Core-Association, Stability-Association and Health-Association</t>
    </r>
  </si>
  <si>
    <r>
      <t xml:space="preserve">Details of the </t>
    </r>
    <r>
      <rPr>
        <b/>
        <sz val="12"/>
        <color theme="5" tint="-0.249977111117893"/>
        <rFont val="Calibri"/>
        <family val="2"/>
        <scheme val="minor"/>
      </rPr>
      <t>24 study cohorts</t>
    </r>
    <r>
      <rPr>
        <b/>
        <sz val="12"/>
        <color theme="1"/>
        <rFont val="Calibri"/>
        <family val="2"/>
        <scheme val="minor"/>
      </rPr>
      <t xml:space="preserve"> from </t>
    </r>
    <r>
      <rPr>
        <b/>
        <sz val="12"/>
        <color theme="5" tint="-0.249977111117893"/>
        <rFont val="Calibri"/>
        <family val="2"/>
        <scheme val="minor"/>
      </rPr>
      <t>Supragingival Subsite</t>
    </r>
    <r>
      <rPr>
        <b/>
        <sz val="12"/>
        <color theme="1"/>
        <rFont val="Calibri"/>
        <family val="2"/>
        <scheme val="minor"/>
      </rPr>
      <t xml:space="preserve"> investigated for computing the association of the </t>
    </r>
    <r>
      <rPr>
        <b/>
        <sz val="12"/>
        <color theme="5" tint="-0.249977111117893"/>
        <rFont val="Calibri"/>
        <family val="2"/>
        <scheme val="minor"/>
      </rPr>
      <t>301 taxa</t>
    </r>
    <r>
      <rPr>
        <b/>
        <sz val="12"/>
        <color theme="1"/>
        <rFont val="Calibri"/>
        <family val="2"/>
        <scheme val="minor"/>
      </rPr>
      <t xml:space="preserve"> with two properties of Core-Association, and Health-Association.</t>
    </r>
  </si>
  <si>
    <t>20*</t>
  </si>
  <si>
    <t>* These samples are already counted in their exposure studies (JulianM_2017_exposure)</t>
  </si>
  <si>
    <r>
      <t xml:space="preserve">Details of the </t>
    </r>
    <r>
      <rPr>
        <b/>
        <sz val="12"/>
        <color theme="5" tint="-0.249977111117893"/>
        <rFont val="Calibri"/>
        <family val="2"/>
        <scheme val="minor"/>
      </rPr>
      <t>11 study cohorts</t>
    </r>
    <r>
      <rPr>
        <b/>
        <sz val="12"/>
        <color theme="1"/>
        <rFont val="Calibri"/>
        <family val="2"/>
        <scheme val="minor"/>
      </rPr>
      <t xml:space="preserve"> from </t>
    </r>
    <r>
      <rPr>
        <b/>
        <sz val="12"/>
        <color theme="5" tint="-0.249977111117893"/>
        <rFont val="Calibri"/>
        <family val="2"/>
        <scheme val="minor"/>
      </rPr>
      <t>Buccal-Palate Other-Surface Subsite</t>
    </r>
    <r>
      <rPr>
        <b/>
        <sz val="12"/>
        <color theme="1"/>
        <rFont val="Calibri"/>
        <family val="2"/>
        <scheme val="minor"/>
      </rPr>
      <t xml:space="preserve"> investigated for computing the association of the </t>
    </r>
    <r>
      <rPr>
        <b/>
        <sz val="12"/>
        <color theme="5" tint="-0.249977111117893"/>
        <rFont val="Calibri"/>
        <family val="2"/>
        <scheme val="minor"/>
      </rPr>
      <t>166 taxa</t>
    </r>
    <r>
      <rPr>
        <b/>
        <sz val="12"/>
        <color theme="1"/>
        <rFont val="Calibri"/>
        <family val="2"/>
        <scheme val="minor"/>
      </rPr>
      <t xml:space="preserve"> with two properties of Core-Association, and Health-Association.</t>
    </r>
  </si>
  <si>
    <r>
      <t xml:space="preserve">Details of the </t>
    </r>
    <r>
      <rPr>
        <b/>
        <sz val="12"/>
        <color theme="5" tint="-0.249977111117893"/>
        <rFont val="Calibri"/>
        <family val="2"/>
        <scheme val="minor"/>
      </rPr>
      <t xml:space="preserve">11 study cohorts </t>
    </r>
    <r>
      <rPr>
        <b/>
        <sz val="12"/>
        <color theme="1"/>
        <rFont val="Calibri"/>
        <family val="2"/>
        <scheme val="minor"/>
      </rPr>
      <t xml:space="preserve">from </t>
    </r>
    <r>
      <rPr>
        <b/>
        <sz val="12"/>
        <color theme="5" tint="-0.249977111117893"/>
        <rFont val="Calibri"/>
        <family val="2"/>
        <scheme val="minor"/>
      </rPr>
      <t>Subgingival Subsite</t>
    </r>
    <r>
      <rPr>
        <b/>
        <sz val="12"/>
        <color theme="1"/>
        <rFont val="Calibri"/>
        <family val="2"/>
        <scheme val="minor"/>
      </rPr>
      <t xml:space="preserve"> investigated for computing the association of the </t>
    </r>
    <r>
      <rPr>
        <b/>
        <sz val="12"/>
        <color theme="5" tint="-0.249977111117893"/>
        <rFont val="Calibri"/>
        <family val="2"/>
        <scheme val="minor"/>
      </rPr>
      <t>196 taxa</t>
    </r>
    <r>
      <rPr>
        <b/>
        <sz val="12"/>
        <color theme="1"/>
        <rFont val="Calibri"/>
        <family val="2"/>
        <scheme val="minor"/>
      </rPr>
      <t xml:space="preserve"> with two properties of Core-Association, and Health-Association</t>
    </r>
  </si>
  <si>
    <r>
      <t xml:space="preserve">Details of the </t>
    </r>
    <r>
      <rPr>
        <b/>
        <sz val="12"/>
        <color theme="5" tint="-0.249977111117893"/>
        <rFont val="Calibri"/>
        <family val="2"/>
        <scheme val="minor"/>
      </rPr>
      <t>18 study cohorts</t>
    </r>
    <r>
      <rPr>
        <b/>
        <sz val="12"/>
        <color theme="1"/>
        <rFont val="Calibri"/>
        <family val="2"/>
        <scheme val="minor"/>
      </rPr>
      <t xml:space="preserve"> from </t>
    </r>
    <r>
      <rPr>
        <b/>
        <sz val="12"/>
        <color theme="5" tint="-0.249977111117893"/>
        <rFont val="Calibri"/>
        <family val="2"/>
        <scheme val="minor"/>
      </rPr>
      <t>Tongue-Tonsil Subsite</t>
    </r>
    <r>
      <rPr>
        <b/>
        <sz val="12"/>
        <color theme="1"/>
        <rFont val="Calibri"/>
        <family val="2"/>
        <scheme val="minor"/>
      </rPr>
      <t xml:space="preserve"> investigated for computing the association of the </t>
    </r>
    <r>
      <rPr>
        <b/>
        <sz val="12"/>
        <color theme="5" tint="-0.249977111117893"/>
        <rFont val="Calibri"/>
        <family val="2"/>
        <scheme val="minor"/>
      </rPr>
      <t>266 taxa</t>
    </r>
    <r>
      <rPr>
        <b/>
        <sz val="12"/>
        <color theme="1"/>
        <rFont val="Calibri"/>
        <family val="2"/>
        <scheme val="minor"/>
      </rPr>
      <t xml:space="preserve"> with two properties of Core-Association, and Health-Association.</t>
    </r>
  </si>
  <si>
    <t>Other Sample Count</t>
  </si>
  <si>
    <t>OSCC, Oral_Verrucous_Hyperplasia</t>
  </si>
  <si>
    <t>Hypertension</t>
  </si>
  <si>
    <t>Alzheimer's Disease (AD)</t>
  </si>
  <si>
    <t>Head_And_Neck_Cancer</t>
  </si>
  <si>
    <t>Gestational Diabetes Mellitus (GDM)</t>
  </si>
  <si>
    <t>Periodontitis</t>
  </si>
  <si>
    <t>H. Pylori infection</t>
  </si>
  <si>
    <t>T2D</t>
  </si>
  <si>
    <t>Breast_Cancer, CRC, Prostate_Cancer</t>
  </si>
  <si>
    <t>Periodontal_Dental_Disease</t>
  </si>
  <si>
    <t>Moyamoya disease</t>
  </si>
  <si>
    <t>NonMetastatic_CRC, Metastatic_CRC</t>
  </si>
  <si>
    <t>Colorectal Polyps</t>
  </si>
  <si>
    <t>T1D</t>
  </si>
  <si>
    <t>IBD_GutInflammation, Remission IBD_GutInflammation</t>
  </si>
  <si>
    <t>Disease</t>
  </si>
  <si>
    <t>Table S1A</t>
  </si>
  <si>
    <t>Table Number</t>
  </si>
  <si>
    <t>ST1A</t>
  </si>
  <si>
    <t>ST1B</t>
  </si>
  <si>
    <t>ST1C</t>
  </si>
  <si>
    <t>ST1D</t>
  </si>
  <si>
    <t>ST1E</t>
  </si>
  <si>
    <t>ST1F</t>
  </si>
  <si>
    <t>Table S1B</t>
  </si>
  <si>
    <t>Table S1C</t>
  </si>
  <si>
    <t>Table S1D</t>
  </si>
  <si>
    <t>Table S1E</t>
  </si>
  <si>
    <t>Table S1F</t>
  </si>
  <si>
    <t>In short</t>
  </si>
  <si>
    <t>Description</t>
  </si>
  <si>
    <r>
      <t xml:space="preserve">Details of 105 </t>
    </r>
    <r>
      <rPr>
        <sz val="11"/>
        <color theme="5" tint="-0.249977111117893"/>
        <rFont val="Calibri"/>
        <family val="2"/>
        <scheme val="minor"/>
      </rPr>
      <t xml:space="preserve">saliva-sputum-oral wash (salivary) </t>
    </r>
    <r>
      <rPr>
        <sz val="11"/>
        <color theme="1"/>
        <rFont val="Calibri"/>
        <family val="2"/>
        <scheme val="minor"/>
      </rPr>
      <t>study cohorts used in the discovery analysis, including country, sequencing type, disease/control count, total sample counts with DOIs</t>
    </r>
  </si>
  <si>
    <r>
      <t xml:space="preserve">Details of 11 </t>
    </r>
    <r>
      <rPr>
        <sz val="11"/>
        <color theme="5" tint="-0.249977111117893"/>
        <rFont val="Calibri"/>
        <family val="2"/>
        <scheme val="minor"/>
      </rPr>
      <t xml:space="preserve">subgingival </t>
    </r>
    <r>
      <rPr>
        <sz val="11"/>
        <color theme="1"/>
        <rFont val="Calibri"/>
        <family val="2"/>
        <scheme val="minor"/>
      </rPr>
      <t>microbiome study cohorts included in the curated repository, including study cohort name, sample count, country, sequencing type, and accession or publication information.</t>
    </r>
  </si>
  <si>
    <r>
      <t xml:space="preserve">Details of 24 </t>
    </r>
    <r>
      <rPr>
        <sz val="11"/>
        <color theme="5" tint="-0.249977111117893"/>
        <rFont val="Calibri"/>
        <family val="2"/>
        <scheme val="minor"/>
      </rPr>
      <t>supragingival</t>
    </r>
    <r>
      <rPr>
        <sz val="11"/>
        <color theme="1"/>
        <rFont val="Calibri"/>
        <family val="2"/>
        <scheme val="minor"/>
      </rPr>
      <t xml:space="preserve"> microbiome study cohorts included in the curated repository, including study cohort name, sample count, country, sequencing type, and accession or publication information</t>
    </r>
  </si>
  <si>
    <r>
      <t xml:space="preserve">Details of 11 </t>
    </r>
    <r>
      <rPr>
        <sz val="11"/>
        <color theme="5" tint="-0.249977111117893"/>
        <rFont val="Calibri"/>
        <family val="2"/>
        <scheme val="minor"/>
      </rPr>
      <t>buccal-palate-other surface</t>
    </r>
    <r>
      <rPr>
        <sz val="11"/>
        <color theme="1"/>
        <rFont val="Calibri"/>
        <family val="2"/>
        <scheme val="minor"/>
      </rPr>
      <t xml:space="preserve"> microbiome study cohorts included in the curated repository, including study cohort name, sample count, country, sequencing type, and accession or publication information.</t>
    </r>
  </si>
  <si>
    <r>
      <t xml:space="preserve">Details of 18 </t>
    </r>
    <r>
      <rPr>
        <sz val="11"/>
        <color theme="5" tint="-0.249977111117893"/>
        <rFont val="Calibri"/>
        <family val="2"/>
        <scheme val="minor"/>
      </rPr>
      <t>tongue-tonsil-related</t>
    </r>
    <r>
      <rPr>
        <sz val="11"/>
        <color theme="1"/>
        <rFont val="Calibri"/>
        <family val="2"/>
        <scheme val="minor"/>
      </rPr>
      <t xml:space="preserve"> microbiome study cohorts included in the curated repository, including study cohort name, sample count, country, sequencing type, and accession or publication information</t>
    </r>
  </si>
  <si>
    <r>
      <t xml:space="preserve">Details of </t>
    </r>
    <r>
      <rPr>
        <sz val="11"/>
        <color theme="5" tint="-0.249977111117893"/>
        <rFont val="Calibri"/>
        <family val="2"/>
        <scheme val="minor"/>
      </rPr>
      <t>unseen salivary validation</t>
    </r>
    <r>
      <rPr>
        <sz val="11"/>
        <color theme="1"/>
        <rFont val="Calibri"/>
        <family val="2"/>
        <scheme val="minor"/>
      </rPr>
      <t xml:space="preserve"> cohorts used to assess reproducibility of taxonomic modules, co-abundance networks, longitudinal stability associations, and control–disease discrimination.</t>
    </r>
  </si>
  <si>
    <r>
      <rPr>
        <b/>
        <sz val="12"/>
        <color theme="1"/>
        <rFont val="Calibri"/>
        <family val="2"/>
        <scheme val="minor"/>
      </rPr>
      <t xml:space="preserve">Table S1. Subsite-wise summary of curated oral microbiome study cohorts and sample distribution: </t>
    </r>
    <r>
      <rPr>
        <b/>
        <sz val="11"/>
        <color theme="1"/>
        <rFont val="Calibri"/>
        <family val="2"/>
        <scheme val="minor"/>
      </rPr>
      <t xml:space="preserve">
</t>
    </r>
    <r>
      <rPr>
        <sz val="11"/>
        <color theme="1"/>
        <rFont val="Calibri"/>
        <family val="2"/>
        <scheme val="minor"/>
      </rPr>
      <t>Subsite-wise summary of all curated oral microbiome study cohorts included in the analysis, including study cohort name, sample count, country, sequencing strategy, disease/control count, and accession or publication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</si>
</sst>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b/>
      <sz val="12"/>
      <color theme="5" tint="-0.249977111117893"/>
      <name val="Calibri"/>
      <family val="2"/>
      <scheme val="minor"/>
    </font>
    <font>
      <sz val="11"/>
      <color theme="5" tint="-0.249977111117893"/>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theme="9"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1" fillId="0" borderId="0" applyNumberFormat="0" applyFill="0" applyBorder="0" applyAlignment="0" applyProtection="0"/>
  </cellStyleXfs>
  <cellXfs count="41">
    <xf numFmtId="0" fontId="0" fillId="0" borderId="0" xfId="0"/>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0" borderId="1" xfId="0" applyBorder="1" applyAlignment="1">
      <alignment horizontal="left" vertical="center"/>
    </xf>
    <xf numFmtId="0" fontId="1" fillId="0" borderId="3" xfId="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7" xfId="0" applyBorder="1"/>
    <xf numFmtId="0" fontId="0" fillId="0" borderId="0" xfId="0" applyAlignment="1">
      <alignment horizontal="center" vertical="center"/>
    </xf>
    <xf numFmtId="0" fontId="0" fillId="0" borderId="2" xfId="0" applyBorder="1"/>
    <xf numFmtId="0" fontId="0" fillId="0" borderId="9" xfId="0" applyBorder="1" applyAlignment="1">
      <alignment horizontal="center" vertical="center"/>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xf>
    <xf numFmtId="0" fontId="1" fillId="0" borderId="1" xfId="1" applyBorder="1"/>
    <xf numFmtId="0" fontId="0" fillId="0" borderId="4" xfId="0" applyBorder="1" applyAlignment="1">
      <alignment vertical="center"/>
    </xf>
    <xf numFmtId="0" fontId="0" fillId="0" borderId="2" xfId="0" applyBorder="1" applyAlignment="1">
      <alignment vertical="center"/>
    </xf>
    <xf numFmtId="0" fontId="0" fillId="0" borderId="7" xfId="0" applyBorder="1" applyAlignment="1">
      <alignment vertical="center"/>
    </xf>
    <xf numFmtId="0" fontId="0" fillId="0" borderId="0" xfId="0" applyAlignment="1">
      <alignment vertical="center"/>
    </xf>
    <xf numFmtId="0" fontId="0" fillId="0" borderId="0" xfId="0" applyAlignment="1">
      <alignment horizontal="center" wrapText="1"/>
    </xf>
    <xf numFmtId="0" fontId="0" fillId="0" borderId="7" xfId="0" applyBorder="1" applyAlignment="1">
      <alignment horizontal="center" vertical="center"/>
    </xf>
    <xf numFmtId="0" fontId="1" fillId="0" borderId="9" xfId="1" applyBorder="1" applyAlignment="1">
      <alignment horizontal="center" vertical="center"/>
    </xf>
    <xf numFmtId="0" fontId="0" fillId="0" borderId="8" xfId="0" applyBorder="1" applyAlignment="1">
      <alignment horizontal="left" vertical="center"/>
    </xf>
    <xf numFmtId="0" fontId="0" fillId="0" borderId="12" xfId="0" applyBorder="1" applyAlignment="1">
      <alignment horizontal="center" vertical="center"/>
    </xf>
    <xf numFmtId="0" fontId="0" fillId="0" borderId="8" xfId="0" applyBorder="1" applyAlignment="1">
      <alignment horizontal="center"/>
    </xf>
    <xf numFmtId="0" fontId="1" fillId="0" borderId="6" xfId="1" applyBorder="1" applyAlignment="1">
      <alignment horizontal="center" vertical="center"/>
    </xf>
    <xf numFmtId="0" fontId="1" fillId="0" borderId="9" xfId="0" applyFont="1" applyBorder="1" applyAlignment="1">
      <alignment horizontal="center" vertical="center"/>
    </xf>
    <xf numFmtId="0" fontId="1" fillId="0" borderId="8" xfId="0" applyFont="1" applyBorder="1" applyAlignment="1">
      <alignment horizontal="center" vertical="center"/>
    </xf>
    <xf numFmtId="0" fontId="1" fillId="0" borderId="1" xfId="1" applyBorder="1" applyAlignment="1">
      <alignment vertical="center" wrapText="1"/>
    </xf>
    <xf numFmtId="0" fontId="0" fillId="3" borderId="1" xfId="0" applyFill="1" applyBorder="1" applyAlignment="1">
      <alignment horizontal="center"/>
    </xf>
    <xf numFmtId="0" fontId="3" fillId="0" borderId="6"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2" fillId="0" borderId="1" xfId="0" applyFont="1" applyBorder="1" applyAlignment="1">
      <alignment horizontal="center" vertical="center" wrapText="1"/>
    </xf>
  </cellXfs>
  <cellStyles count="2">
    <cellStyle name="Hyperlink" xfId="1" builtinId="8"/>
    <cellStyle name="Normal" xfId="0" builtinId="0"/>
  </cellStyles>
  <dxfs count="233">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bottom style="thin">
          <color indexed="64"/>
        </bottom>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bottom style="thin">
          <color indexed="64"/>
        </bottom>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general" vertical="center"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bottom style="thin">
          <color indexed="64"/>
        </bottom>
      </border>
    </dxf>
    <dxf>
      <alignment horizontal="general" vertical="center" textRotation="0" wrapText="0" indent="0" justifyLastLine="0" shrinkToFit="0" readingOrder="0"/>
      <border diagonalUp="0" diagonalDown="0" outline="0">
        <left/>
        <right style="thin">
          <color indexed="64"/>
        </right>
        <top style="thin">
          <color indexed="64"/>
        </top>
        <bottom/>
      </border>
    </dxf>
    <dxf>
      <alignment vertical="center" textRotation="0" indent="0" justifyLastLine="0" shrinkToFit="0" readingOrder="0"/>
      <border diagonalUp="0" diagonalDown="0" outline="0">
        <left/>
        <right style="thin">
          <color indexed="64"/>
        </right>
        <top style="thin">
          <color indexed="64"/>
        </top>
        <bottom style="thin">
          <color indexed="64"/>
        </bottom>
      </border>
    </dxf>
    <dxf>
      <border diagonalUp="0" diagonalDown="0" outline="0">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general" vertical="center"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bottom style="thin">
          <color indexed="64"/>
        </bottom>
      </border>
    </dxf>
    <dxf>
      <alignment horizontal="general" vertical="center" textRotation="0" wrapText="0" indent="0" justifyLastLine="0" shrinkToFit="0" readingOrder="0"/>
      <border diagonalUp="0" diagonalDown="0" outline="0">
        <left/>
        <right style="thin">
          <color indexed="64"/>
        </right>
        <top style="thin">
          <color indexed="64"/>
        </top>
        <bottom/>
      </border>
    </dxf>
    <dxf>
      <alignment vertical="center" textRotation="0" indent="0" justifyLastLine="0" shrinkToFit="0" readingOrder="0"/>
      <border diagonalUp="0" diagonalDown="0" outline="0">
        <left/>
        <right style="thin">
          <color indexed="64"/>
        </right>
        <top style="thin">
          <color indexed="64"/>
        </top>
        <bottom style="thin">
          <color indexed="64"/>
        </bottom>
      </border>
    </dxf>
    <dxf>
      <border diagonalUp="0" diagonalDown="0" outline="0">
        <left/>
        <right style="thin">
          <color indexed="64"/>
        </right>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ertAlign val="baseline"/>
        <sz val="11"/>
        <color theme="10"/>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outline="0">
        <left style="thin">
          <color indexed="64"/>
        </left>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right style="thin">
          <color indexed="64"/>
        </right>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ertAlign val="baseline"/>
        <sz val="11"/>
        <color theme="10"/>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0" indent="0" justifyLastLine="0" shrinkToFit="0" readingOrder="0"/>
      <border diagonalUp="0" diagonalDown="0" outline="0">
        <left/>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bottom style="thin">
          <color indexed="64"/>
        </bottom>
      </border>
    </dxf>
    <dxf>
      <alignment horizontal="center" vertical="center" textRotation="0" wrapText="0" indent="0" justifyLastLine="0" shrinkToFit="0" readingOrder="0"/>
      <border diagonalUp="0" diagonalDown="0" outline="0">
        <left/>
        <right/>
        <top style="thin">
          <color indexed="64"/>
        </top>
        <bottom/>
      </border>
    </dxf>
    <dxf>
      <alignment horizontal="center" vertical="center" textRotation="0" wrapText="0" indent="0" justifyLastLine="0" shrinkToFit="0" readingOrder="0"/>
      <border diagonalUp="0" diagonalDown="0" outline="0">
        <left/>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2D236-1720-4687-9C68-9983817C3D79}" name="Table1" displayName="Table1" ref="A3:K108" headerRowCount="0" totalsRowCount="1" headerRowDxfId="188" dataDxfId="186" headerRowBorderDxfId="187" tableBorderDxfId="185" totalsRowBorderDxfId="184">
  <tableColumns count="11">
    <tableColumn id="1" xr3:uid="{0F84BF90-2614-49BF-939B-EC593251F700}" name="Column1" headerRowDxfId="183" dataDxfId="182" totalsRowDxfId="181"/>
    <tableColumn id="9" xr3:uid="{49D2FD45-846A-4199-913E-5AD0EDF0709B}" name="Column7" headerRowDxfId="180" dataDxfId="179" totalsRowDxfId="178"/>
    <tableColumn id="2" xr3:uid="{C0FA9D18-E036-4A4B-9387-4F9DB97F4AE7}" name="Column2" totalsRowLabel="Total" headerRowDxfId="177" dataDxfId="176" totalsRowDxfId="175"/>
    <tableColumn id="3" xr3:uid="{F59FF291-1824-4B7D-AA37-A8B79D1FB1E5}" name="Column3" totalsRowFunction="custom" headerRowDxfId="174" dataDxfId="173" totalsRowDxfId="172">
      <totalsRowFormula>SUM(D3:D107)</totalsRowFormula>
    </tableColumn>
    <tableColumn id="8" xr3:uid="{5FE7FC7D-2705-4D28-98FF-178FBCCC5AD2}" name="Column9" totalsRowFunction="custom" headerRowDxfId="171" dataDxfId="170" totalsRowDxfId="169">
      <totalsRowFormula>SUM(E3:E101)</totalsRowFormula>
    </tableColumn>
    <tableColumn id="7" xr3:uid="{591AD3C1-8DBC-4DF1-B3EA-4225542F6489}" name="Column8" totalsRowFunction="custom" headerRowDxfId="168" dataDxfId="167" totalsRowDxfId="166">
      <totalsRowFormula>SUM(F3:F107)</totalsRowFormula>
    </tableColumn>
    <tableColumn id="4" xr3:uid="{F8D6829F-1D44-4DEB-B18D-2A367CF4A06A}" name="Column4" headerRowDxfId="165" dataDxfId="164" totalsRowDxfId="163"/>
    <tableColumn id="5" xr3:uid="{38BC4408-3CE1-41DE-83E8-24AC00FC0634}" name="Column5" headerRowDxfId="162" dataDxfId="161" totalsRowDxfId="160"/>
    <tableColumn id="6" xr3:uid="{A296DCAA-2833-4654-A9A8-5CC1735AC4CF}" name="Column6" headerRowDxfId="159" dataDxfId="158" totalsRowDxfId="157"/>
    <tableColumn id="14" xr3:uid="{EB6EDDA4-1766-4BBA-B9CB-7082BD716B12}" name="Column14" headerRowDxfId="156" dataDxfId="155" totalsRowDxfId="154"/>
    <tableColumn id="15" xr3:uid="{677C5174-2DDD-4552-B805-7A9007E99CBC}" name="Column15" headerRowDxfId="153" totalsRowDxfId="152" headerRowCellStyle="Hyperlink" dataCellStyle="Hyperlink"/>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306C8A-75E6-4A12-A6B9-C741492EA872}" name="Table2" displayName="Table2" ref="A3:K27" headerRowCount="0" totalsRowCount="1" headerRowDxfId="151" dataDxfId="149" headerRowBorderDxfId="150" tableBorderDxfId="148" totalsRowBorderDxfId="147">
  <tableColumns count="11">
    <tableColumn id="1" xr3:uid="{889C536B-74D1-478C-8817-CF8837ED4A1F}" name="Column1" headerRowDxfId="146" dataDxfId="145" totalsRowDxfId="144"/>
    <tableColumn id="7" xr3:uid="{AB94D6E8-5A40-4F2A-AB80-78D1D84FE305}" name="Column7" headerRowDxfId="143" dataDxfId="142" totalsRowDxfId="141"/>
    <tableColumn id="2" xr3:uid="{6F80C91A-E543-4A9F-ADBB-D1533A83295C}" name="Column2" totalsRowLabel="Total" headerRowDxfId="140" dataDxfId="139" totalsRowDxfId="138"/>
    <tableColumn id="3" xr3:uid="{84FC0005-4216-4FB3-B1B1-4F38B238351B}" name="Column3" totalsRowFunction="custom" headerRowDxfId="137" dataDxfId="136" totalsRowDxfId="135">
      <totalsRowFormula>SUM(D3:D26)</totalsRowFormula>
    </tableColumn>
    <tableColumn id="9" xr3:uid="{C60A4A67-9EAC-43CE-869E-76549EE06A96}" name="Column9" totalsRowFunction="custom" headerRowDxfId="134" dataDxfId="133" totalsRowDxfId="132">
      <totalsRowFormula>SUM(E3:E25)</totalsRowFormula>
    </tableColumn>
    <tableColumn id="8" xr3:uid="{7EC49D2A-EFAC-49CD-BDB5-8F814F7909DD}" name="Column8" totalsRowFunction="custom" headerRowDxfId="131" dataDxfId="130" totalsRowDxfId="129">
      <totalsRowFormula>SUM(F3:F26)</totalsRowFormula>
    </tableColumn>
    <tableColumn id="4" xr3:uid="{AA4DC244-7A9E-4D22-B893-D8904379688D}" name="Column4" headerRowDxfId="128" dataDxfId="127" totalsRowDxfId="126"/>
    <tableColumn id="5" xr3:uid="{C439AD33-EBB9-48A6-9E9A-35CEB9C8DA85}" name="Column5" headerRowDxfId="125" dataDxfId="124" totalsRowDxfId="123"/>
    <tableColumn id="6" xr3:uid="{69E6CD09-0BA3-4840-9A4F-DD476FA345D9}" name="Column6" headerRowDxfId="122" dataDxfId="121" totalsRowDxfId="120"/>
    <tableColumn id="13" xr3:uid="{CDA3D4AD-EB35-4826-86AA-75A5853E2AA2}" name="Column13" headerRowDxfId="119" dataDxfId="118" totalsRowDxfId="117"/>
    <tableColumn id="14" xr3:uid="{DD15C665-5867-4117-B644-DA234AD29F57}" name="Column14" headerRowDxfId="116" dataDxfId="115" totalsRowDxfId="1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510FCC-E477-4A38-AC02-9E974B1F1385}" name="Table4" displayName="Table4" ref="A3:K14" headerRowCount="0" totalsRowCount="1" headerRowDxfId="113" dataDxfId="111" headerRowBorderDxfId="112" tableBorderDxfId="110" totalsRowBorderDxfId="109">
  <tableColumns count="11">
    <tableColumn id="1" xr3:uid="{7EE5191F-8381-4E10-A86A-F8891D20E846}" name="Column1" headerRowDxfId="108" dataDxfId="107" totalsRowDxfId="106"/>
    <tableColumn id="7" xr3:uid="{1C2C4000-B9D1-4313-AC2C-366760EC3394}" name="Column7" headerRowDxfId="105" dataDxfId="104" totalsRowDxfId="103"/>
    <tableColumn id="2" xr3:uid="{00F55BF7-D467-45EC-8490-BB2F87DF60C2}" name="Column2" totalsRowLabel="Total" headerRowDxfId="102" dataDxfId="101" totalsRowDxfId="100"/>
    <tableColumn id="3" xr3:uid="{DDAC716F-6F2A-4718-8282-B8CC651D2632}" name="Column3" totalsRowFunction="custom" headerRowDxfId="99" dataDxfId="98" totalsRowDxfId="97">
      <totalsRowFormula>SUM(D3:D13)</totalsRowFormula>
    </tableColumn>
    <tableColumn id="9" xr3:uid="{D16276EC-9ADC-49C9-B2BA-47FC098E859B}" name="Column9" totalsRowFunction="custom" headerRowDxfId="96" dataDxfId="95" totalsRowDxfId="94">
      <totalsRowFormula>SUM(E3:E13)</totalsRowFormula>
    </tableColumn>
    <tableColumn id="8" xr3:uid="{C6AFC4F8-B3E8-491E-9835-8E54150E13BC}" name="Column8" totalsRowFunction="custom" headerRowDxfId="93" dataDxfId="92" totalsRowDxfId="91">
      <totalsRowFormula>SUM(F3:F13)</totalsRowFormula>
    </tableColumn>
    <tableColumn id="4" xr3:uid="{46207BFC-ED7B-4CD2-9084-669E12DDAC37}" name="Column4" headerRowDxfId="90" dataDxfId="89" totalsRowDxfId="88"/>
    <tableColumn id="5" xr3:uid="{E86A64F7-138C-425B-B4F5-32324E5404CA}" name="Column5" headerRowDxfId="87" dataDxfId="86" totalsRowDxfId="85"/>
    <tableColumn id="6" xr3:uid="{EE7F0D73-80D1-427C-9AE8-4A466DE05B10}" name="Column6" headerRowDxfId="84" dataDxfId="83" totalsRowDxfId="82"/>
    <tableColumn id="14" xr3:uid="{CE2E4E5D-FF87-4FDE-AE45-AFAC0013058B}" name="Column14" headerRowDxfId="81" dataDxfId="80" totalsRowDxfId="79"/>
    <tableColumn id="15" xr3:uid="{458B4C69-94A8-4DB1-8282-5D5D1752B956}" name="Column15" headerRowDxfId="78" dataDxfId="77" totalsRowDxfId="7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3463B4-C524-43E9-912C-E9D0DB84FBE8}" name="Table5" displayName="Table5" ref="A3:K21" headerRowCount="0" totalsRowCount="1" headerRowDxfId="75" dataDxfId="73" headerRowBorderDxfId="74" tableBorderDxfId="72" totalsRowBorderDxfId="71">
  <tableColumns count="11">
    <tableColumn id="1" xr3:uid="{C909E27C-B02D-46FA-9FEB-8740D03BDDDE}" name="Column1" headerRowDxfId="70" dataDxfId="69" totalsRowDxfId="68"/>
    <tableColumn id="7" xr3:uid="{CF716EA8-058D-4045-809C-84ADF3992A99}" name="Column7" headerRowDxfId="67" dataDxfId="66" totalsRowDxfId="65"/>
    <tableColumn id="2" xr3:uid="{336A6C86-0E9A-476A-AA07-CB0050AA3A62}" name="Column2" totalsRowLabel="Total" headerRowDxfId="64" dataDxfId="63" totalsRowDxfId="62"/>
    <tableColumn id="3" xr3:uid="{4BEE0E22-18F3-405C-89B0-978EC6DA580B}" name="Column3" totalsRowFunction="custom" headerRowDxfId="61" dataDxfId="60" totalsRowDxfId="59">
      <totalsRowFormula>SUM(D3:D20)</totalsRowFormula>
    </tableColumn>
    <tableColumn id="9" xr3:uid="{A854BCDC-4FB9-4AB9-B621-4D0003976C4F}" name="Column9" totalsRowFunction="custom" headerRowDxfId="58" dataDxfId="57" totalsRowDxfId="56">
      <totalsRowFormula>SUM(E3:E20)</totalsRowFormula>
    </tableColumn>
    <tableColumn id="8" xr3:uid="{B6232CDB-79C2-4DAD-97CC-DFB0C7B02DB1}" name="Column8" totalsRowFunction="custom" headerRowDxfId="55" dataDxfId="54" totalsRowDxfId="53">
      <totalsRowFormula>SUM(F3:F20)</totalsRowFormula>
    </tableColumn>
    <tableColumn id="4" xr3:uid="{3AFD8CB1-71E1-4437-978E-B5F598732D5A}" name="Column4" headerRowDxfId="52" dataDxfId="51" totalsRowDxfId="50"/>
    <tableColumn id="5" xr3:uid="{A362F071-A0ED-46E6-A5A6-B492EFB1D2EE}" name="Column5" headerRowDxfId="49" dataDxfId="48" totalsRowDxfId="47"/>
    <tableColumn id="6" xr3:uid="{156A89A3-2B55-44C6-9E23-9D33C5CAB5F2}" name="Column6" headerRowDxfId="46" dataDxfId="45" totalsRowDxfId="44"/>
    <tableColumn id="14" xr3:uid="{B9F9BA52-E815-4FBE-8B09-A02BD7AC03EB}" name="Column14" headerRowDxfId="43" dataDxfId="42" totalsRowDxfId="41"/>
    <tableColumn id="15" xr3:uid="{CBEA5EA1-5E16-41CE-A5A4-A90CA0EFD9E8}" name="Column15" headerRowDxfId="40" dataDxfId="39" totalsRowDxfId="3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77E51B-245A-4215-84AE-6EF8DEC30B0A}" name="Table3" displayName="Table3" ref="A3:K14" headerRowCount="0" totalsRowCount="1" headerRowDxfId="37" dataDxfId="35" headerRowBorderDxfId="36" tableBorderDxfId="34" totalsRowBorderDxfId="33">
  <tableColumns count="11">
    <tableColumn id="1" xr3:uid="{A726621A-8AC7-408E-A438-009CCB316210}" name="Column1" headerRowDxfId="32" dataDxfId="31" totalsRowDxfId="30"/>
    <tableColumn id="7" xr3:uid="{15BE7CA0-5CF4-4D63-AEC9-D36A6EE89FA9}" name="Column7" headerRowDxfId="29" dataDxfId="28" totalsRowDxfId="27"/>
    <tableColumn id="2" xr3:uid="{4122FC1E-E11F-44E0-BC47-5A5E90F6B8B8}" name="Column2" totalsRowLabel="Total" headerRowDxfId="26" dataDxfId="25" totalsRowDxfId="24"/>
    <tableColumn id="3" xr3:uid="{6EA282D4-ECEB-4D1F-9B7E-56D1E9821FF0}" name="Column3" totalsRowFunction="custom" headerRowDxfId="23" dataDxfId="22" totalsRowDxfId="21">
      <totalsRowFormula>SUM(D3:D13)</totalsRowFormula>
    </tableColumn>
    <tableColumn id="9" xr3:uid="{D40EE15D-CAFF-47C1-9F05-3D6076E89A45}" name="Column9" totalsRowFunction="custom" headerRowDxfId="20" dataDxfId="19" totalsRowDxfId="18">
      <totalsRowFormula>SUM(E3:E12)</totalsRowFormula>
    </tableColumn>
    <tableColumn id="8" xr3:uid="{47EA151E-6365-45B4-991E-8FFF1A01CDE9}" name="Column8" totalsRowFunction="custom" headerRowDxfId="17" dataDxfId="16" totalsRowDxfId="15">
      <totalsRowFormula>SUM(F3:F13)</totalsRowFormula>
    </tableColumn>
    <tableColumn id="4" xr3:uid="{425E1EED-E736-494E-B295-CFB34D983BB2}" name="Column4" headerRowDxfId="14" dataDxfId="13" totalsRowDxfId="12"/>
    <tableColumn id="5" xr3:uid="{7E783C41-9B7A-4D6C-A551-4FC696641655}" name="Column5" headerRowDxfId="11" dataDxfId="10" totalsRowDxfId="9"/>
    <tableColumn id="6" xr3:uid="{5A449F31-77E6-49BF-AA67-449E41B5ECBD}" name="Column6" headerRowDxfId="8" dataDxfId="7" totalsRowDxfId="6"/>
    <tableColumn id="14" xr3:uid="{250E63BD-0A0A-4801-8247-3DC9C1A2D0F6}" name="Column14" headerRowDxfId="5" dataDxfId="4" totalsRowDxfId="3"/>
    <tableColumn id="15" xr3:uid="{AEA47FFE-A017-4BC3-A429-75E82F631BB7}" name="Column15" headerRowDxfId="2" dataDxfId="1" totalsRow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2D5B93-CF60-4C08-ACED-E543D9F60D51}" name="Table17" displayName="Table17" ref="A3:M22" headerRowCount="0" totalsRowCount="1" headerRowDxfId="232" dataDxfId="230" headerRowBorderDxfId="231" tableBorderDxfId="229" totalsRowBorderDxfId="228">
  <tableColumns count="13">
    <tableColumn id="1" xr3:uid="{183C7442-943C-44C2-A55D-3248A295FBD3}" name="Column1" headerRowDxfId="227" dataDxfId="226" totalsRowDxfId="225"/>
    <tableColumn id="7" xr3:uid="{31FA75C9-61C4-4C45-8349-13F7BBED7392}" name="Column7" headerRowDxfId="224" dataDxfId="223" totalsRowDxfId="222"/>
    <tableColumn id="2" xr3:uid="{5066668B-815D-4432-896D-0BA38FD59C7D}" name="Column2" totalsRowLabel="Total" headerRowDxfId="221" dataDxfId="220" totalsRowDxfId="219"/>
    <tableColumn id="3" xr3:uid="{9E0582A4-0FD7-4CFE-9294-F2F29652A35D}" name="Column3" totalsRowFunction="custom" headerRowDxfId="218" dataDxfId="217" totalsRowDxfId="216">
      <totalsRowFormula>SUM(D3:D21)</totalsRowFormula>
    </tableColumn>
    <tableColumn id="8" xr3:uid="{88807BEB-1B14-49C0-9974-CA4F5AE2CB5D}" name="Column8" totalsRowFunction="custom" headerRowDxfId="215" dataDxfId="214" totalsRowDxfId="213">
      <totalsRowFormula>SUM(E3:E21)</totalsRowFormula>
    </tableColumn>
    <tableColumn id="9" xr3:uid="{670B9404-54E9-4BA5-AEF1-591C6C2349DF}" name="Column9" totalsRowFunction="custom" headerRowDxfId="212" dataDxfId="211" totalsRowDxfId="210">
      <totalsRowFormula>SUM(F3:F21)</totalsRowFormula>
    </tableColumn>
    <tableColumn id="12" xr3:uid="{FDDE1EE5-C466-4EFB-B51D-B0E15D6BF8D4}" name="Column11" totalsRowFunction="custom" headerRowDxfId="209" dataDxfId="208" totalsRowDxfId="207">
      <totalsRowFormula>SUM(G3:G21)</totalsRowFormula>
    </tableColumn>
    <tableColumn id="10" xr3:uid="{3492A069-2C11-9A46-BE39-1E17677C707E}" name="Column10" headerRowDxfId="206" dataDxfId="205" totalsRowDxfId="204"/>
    <tableColumn id="4" xr3:uid="{3319E7DE-AF93-4E12-8D53-80292E4B3838}" name="Column4" headerRowDxfId="203" dataDxfId="202" totalsRowDxfId="201"/>
    <tableColumn id="5" xr3:uid="{83D77246-C1C1-4D11-99B7-A2C2738704DA}" name="Column5" headerRowDxfId="200" dataDxfId="199" totalsRowDxfId="198"/>
    <tableColumn id="6" xr3:uid="{DF84D06C-2843-45A2-861D-CB65AA98DEC6}" name="Column6" headerRowDxfId="197" dataDxfId="196" totalsRowDxfId="195"/>
    <tableColumn id="14" xr3:uid="{ACA9811A-1D9B-46A3-8D50-04EAEEEE8970}" name="Column14" headerRowDxfId="194" dataDxfId="193" totalsRowDxfId="192"/>
    <tableColumn id="15" xr3:uid="{6321D845-044F-4D28-A3AA-9B4A515B9847}" name="Column15" headerRowDxfId="191" dataDxfId="190" totalsRowDxfId="189" headerRowCellStyle="Hyperlink" dataCellStyle="Hyperlink"/>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038/s41598-020-59849-9" TargetMode="External"/><Relationship Id="rId21" Type="http://schemas.openxmlformats.org/officeDocument/2006/relationships/hyperlink" Target="https://doi.org/10.1111/mec.14435" TargetMode="External"/><Relationship Id="rId42" Type="http://schemas.openxmlformats.org/officeDocument/2006/relationships/hyperlink" Target="https://doi.org/10.1038/s41522-025-00725-7" TargetMode="External"/><Relationship Id="rId47" Type="http://schemas.openxmlformats.org/officeDocument/2006/relationships/hyperlink" Target="http://dx.doi.org/10.1097/MD.0000000000005821" TargetMode="External"/><Relationship Id="rId63" Type="http://schemas.openxmlformats.org/officeDocument/2006/relationships/hyperlink" Target="https://doi.org/10.1016/j.job.2019.03.003" TargetMode="External"/><Relationship Id="rId68" Type="http://schemas.openxmlformats.org/officeDocument/2006/relationships/hyperlink" Target="https://doi.org/10.3389/fmicb.2021.756808" TargetMode="External"/><Relationship Id="rId84" Type="http://schemas.openxmlformats.org/officeDocument/2006/relationships/hyperlink" Target="https://doi.org/10.1093/dnares/dsx001" TargetMode="External"/><Relationship Id="rId89" Type="http://schemas.openxmlformats.org/officeDocument/2006/relationships/hyperlink" Target="https://doi.org/10.1016/j.gpb.2021.05.001" TargetMode="External"/><Relationship Id="rId16" Type="http://schemas.openxmlformats.org/officeDocument/2006/relationships/hyperlink" Target="https://doi.org/10.1111/odi.13420" TargetMode="External"/><Relationship Id="rId11" Type="http://schemas.openxmlformats.org/officeDocument/2006/relationships/hyperlink" Target="https://doi.org/10.1126/sciadv.1500183" TargetMode="External"/><Relationship Id="rId32" Type="http://schemas.openxmlformats.org/officeDocument/2006/relationships/hyperlink" Target="https://doi.org/10.1128/AEM.01170-20" TargetMode="External"/><Relationship Id="rId37" Type="http://schemas.openxmlformats.org/officeDocument/2006/relationships/hyperlink" Target="https://doi.org/10.3390/microorganisms7120645" TargetMode="External"/><Relationship Id="rId53" Type="http://schemas.openxmlformats.org/officeDocument/2006/relationships/hyperlink" Target="https://doi.org/10.1038/s41598-017-07042-w" TargetMode="External"/><Relationship Id="rId58" Type="http://schemas.openxmlformats.org/officeDocument/2006/relationships/hyperlink" Target="https://doi.org/10.1038/s41598-019-55667-w" TargetMode="External"/><Relationship Id="rId74" Type="http://schemas.openxmlformats.org/officeDocument/2006/relationships/hyperlink" Target="https://doi.org/10.1038/s41598-017-16418-x" TargetMode="External"/><Relationship Id="rId79" Type="http://schemas.openxmlformats.org/officeDocument/2006/relationships/hyperlink" Target="https://doi.org/10.1128/mSystems.00065-20" TargetMode="External"/><Relationship Id="rId102" Type="http://schemas.openxmlformats.org/officeDocument/2006/relationships/hyperlink" Target="https://doi.org/10.1158/1055-9965.EPI-16-0538" TargetMode="External"/><Relationship Id="rId5" Type="http://schemas.openxmlformats.org/officeDocument/2006/relationships/hyperlink" Target="https://doi.org/10.1038/s41598-020-62195-5" TargetMode="External"/><Relationship Id="rId90" Type="http://schemas.openxmlformats.org/officeDocument/2006/relationships/hyperlink" Target="https://doi.org/10.1177/0022034520917155" TargetMode="External"/><Relationship Id="rId95" Type="http://schemas.openxmlformats.org/officeDocument/2006/relationships/hyperlink" Target="https://doi.org/10.1186/s40168-018-0592-3" TargetMode="External"/><Relationship Id="rId22" Type="http://schemas.openxmlformats.org/officeDocument/2006/relationships/hyperlink" Target="https://doi.org/10.1038/s41598-020-70141-8" TargetMode="External"/><Relationship Id="rId27" Type="http://schemas.openxmlformats.org/officeDocument/2006/relationships/hyperlink" Target="https://doi.org/10.1186/s40168-023-01613-y" TargetMode="External"/><Relationship Id="rId43" Type="http://schemas.openxmlformats.org/officeDocument/2006/relationships/hyperlink" Target="https://doi.org/10.1186/s40168-023-01677-w" TargetMode="External"/><Relationship Id="rId48" Type="http://schemas.openxmlformats.org/officeDocument/2006/relationships/hyperlink" Target="https://doi.org/10.1186/s40168-023-01613-y" TargetMode="External"/><Relationship Id="rId64" Type="http://schemas.openxmlformats.org/officeDocument/2006/relationships/hyperlink" Target="https://doi.org/10.3389/fmicb.2017.02699" TargetMode="External"/><Relationship Id="rId69" Type="http://schemas.openxmlformats.org/officeDocument/2006/relationships/hyperlink" Target="https://doi.org/10.3389/fcimb.2019.00216" TargetMode="External"/><Relationship Id="rId80" Type="http://schemas.openxmlformats.org/officeDocument/2006/relationships/hyperlink" Target="https://doi.org/10.1038/s41522-021-00247-y" TargetMode="External"/><Relationship Id="rId85" Type="http://schemas.openxmlformats.org/officeDocument/2006/relationships/hyperlink" Target="https://doi.org/10.1038/s41598-019-55056-3" TargetMode="External"/><Relationship Id="rId12" Type="http://schemas.openxmlformats.org/officeDocument/2006/relationships/hyperlink" Target="https://doi.org/10.1186/gb-2014-15-7-r89" TargetMode="External"/><Relationship Id="rId17" Type="http://schemas.openxmlformats.org/officeDocument/2006/relationships/hyperlink" Target="https://doi.org/10.1080/20002297.2023.2186591" TargetMode="External"/><Relationship Id="rId25" Type="http://schemas.openxmlformats.org/officeDocument/2006/relationships/hyperlink" Target="https://doi.org/10.1038/s41598-020-59849-9" TargetMode="External"/><Relationship Id="rId33" Type="http://schemas.openxmlformats.org/officeDocument/2006/relationships/hyperlink" Target="https://doi.org/10.1002/ajpa.23033" TargetMode="External"/><Relationship Id="rId38" Type="http://schemas.openxmlformats.org/officeDocument/2006/relationships/hyperlink" Target="https://doi.org/10.7717/peerj.4693" TargetMode="External"/><Relationship Id="rId46" Type="http://schemas.openxmlformats.org/officeDocument/2006/relationships/hyperlink" Target="https://doi.org/10.1038/s41598-020-73515-0" TargetMode="External"/><Relationship Id="rId59" Type="http://schemas.openxmlformats.org/officeDocument/2006/relationships/hyperlink" Target="https://doi.org/10.1038/srep22943" TargetMode="External"/><Relationship Id="rId67" Type="http://schemas.openxmlformats.org/officeDocument/2006/relationships/hyperlink" Target="https://doi.org/10.1053/j.gastro.2022.03.054" TargetMode="External"/><Relationship Id="rId103" Type="http://schemas.openxmlformats.org/officeDocument/2006/relationships/printerSettings" Target="../printerSettings/printerSettings1.bin"/><Relationship Id="rId20" Type="http://schemas.openxmlformats.org/officeDocument/2006/relationships/hyperlink" Target="https://doi.org/10.1038/s41598-020-73515-0" TargetMode="External"/><Relationship Id="rId41" Type="http://schemas.openxmlformats.org/officeDocument/2006/relationships/hyperlink" Target="https://doi.org/10.1038/s41598-022-26528-w" TargetMode="External"/><Relationship Id="rId54" Type="http://schemas.openxmlformats.org/officeDocument/2006/relationships/hyperlink" Target="https://doi.org/10.7554/eLife.42693" TargetMode="External"/><Relationship Id="rId62" Type="http://schemas.openxmlformats.org/officeDocument/2006/relationships/hyperlink" Target="https://doi.org/10.1128/AEM.03330-16" TargetMode="External"/><Relationship Id="rId70" Type="http://schemas.openxmlformats.org/officeDocument/2006/relationships/hyperlink" Target="http://dx.doi.org/doi:10.4317/medoral.23041" TargetMode="External"/><Relationship Id="rId75" Type="http://schemas.openxmlformats.org/officeDocument/2006/relationships/hyperlink" Target="https://doi.org/10.3389/fcimb.2018.00442" TargetMode="External"/><Relationship Id="rId83" Type="http://schemas.openxmlformats.org/officeDocument/2006/relationships/hyperlink" Target="https://doi.org/10.3389/fcimb.2021.625229" TargetMode="External"/><Relationship Id="rId88" Type="http://schemas.openxmlformats.org/officeDocument/2006/relationships/hyperlink" Target="https://doi.org/10.1093/femsec/fiv091" TargetMode="External"/><Relationship Id="rId91" Type="http://schemas.openxmlformats.org/officeDocument/2006/relationships/hyperlink" Target="http://dx.doi.org/10.21037/atm-20-393" TargetMode="External"/><Relationship Id="rId96" Type="http://schemas.openxmlformats.org/officeDocument/2006/relationships/hyperlink" Target="https://doi.org/10.1038/s41522-022-00279-y" TargetMode="External"/><Relationship Id="rId1" Type="http://schemas.openxmlformats.org/officeDocument/2006/relationships/hyperlink" Target="https://doi.org/10.3389/fcimb.2022.966361" TargetMode="External"/><Relationship Id="rId6" Type="http://schemas.openxmlformats.org/officeDocument/2006/relationships/hyperlink" Target="https://doi.org/10.1080/19490976.2022.2070392" TargetMode="External"/><Relationship Id="rId15" Type="http://schemas.openxmlformats.org/officeDocument/2006/relationships/hyperlink" Target="https://doi.org/10.1042/BSR20210694" TargetMode="External"/><Relationship Id="rId23" Type="http://schemas.openxmlformats.org/officeDocument/2006/relationships/hyperlink" Target="https://doi.org/10.3389/fcimb.2022.966361" TargetMode="External"/><Relationship Id="rId28" Type="http://schemas.openxmlformats.org/officeDocument/2006/relationships/hyperlink" Target="https://doi.org/10.1038/s41522-022-00289-w" TargetMode="External"/><Relationship Id="rId36" Type="http://schemas.openxmlformats.org/officeDocument/2006/relationships/hyperlink" Target="https://doi.org/10.1016/j.isci.2020.100884" TargetMode="External"/><Relationship Id="rId49" Type="http://schemas.openxmlformats.org/officeDocument/2006/relationships/hyperlink" Target="https://doi.org/10.1016/j.ebiom.2023.104731" TargetMode="External"/><Relationship Id="rId57" Type="http://schemas.openxmlformats.org/officeDocument/2006/relationships/hyperlink" Target="https://doi.org/10.1371/journal.pone.0203503" TargetMode="External"/><Relationship Id="rId10" Type="http://schemas.openxmlformats.org/officeDocument/2006/relationships/hyperlink" Target="https://doi.org/10.1128/spectrum.02814-22" TargetMode="External"/><Relationship Id="rId31" Type="http://schemas.openxmlformats.org/officeDocument/2006/relationships/hyperlink" Target="https://doi.org/10.1128/msphere.00451-20" TargetMode="External"/><Relationship Id="rId44" Type="http://schemas.openxmlformats.org/officeDocument/2006/relationships/hyperlink" Target="https://doi.org/10.1093/rheumatology/keae045" TargetMode="External"/><Relationship Id="rId52" Type="http://schemas.openxmlformats.org/officeDocument/2006/relationships/hyperlink" Target="https://doi.org/10.3389/fcimb.2018.00423" TargetMode="External"/><Relationship Id="rId60" Type="http://schemas.openxmlformats.org/officeDocument/2006/relationships/hyperlink" Target="https://doi.org/10.1152/ajpendo.00234.2020" TargetMode="External"/><Relationship Id="rId65" Type="http://schemas.openxmlformats.org/officeDocument/2006/relationships/hyperlink" Target="https://doi.org/10.1038/s41598-025-13262-2" TargetMode="External"/><Relationship Id="rId73" Type="http://schemas.openxmlformats.org/officeDocument/2006/relationships/hyperlink" Target="https://doi.org/10.1016/j.job.2024.100591" TargetMode="External"/><Relationship Id="rId78" Type="http://schemas.openxmlformats.org/officeDocument/2006/relationships/hyperlink" Target="https://doi.org/10.1186/s40168-018-0448-x" TargetMode="External"/><Relationship Id="rId81" Type="http://schemas.openxmlformats.org/officeDocument/2006/relationships/hyperlink" Target="https://doi.org/10.1038/s41522-017-0031-4" TargetMode="External"/><Relationship Id="rId86" Type="http://schemas.openxmlformats.org/officeDocument/2006/relationships/hyperlink" Target="https://doi.org/10.1128/AEM.00777-20" TargetMode="External"/><Relationship Id="rId94" Type="http://schemas.openxmlformats.org/officeDocument/2006/relationships/hyperlink" Target="https://doi.org/10.7554/eLife.42693" TargetMode="External"/><Relationship Id="rId99" Type="http://schemas.openxmlformats.org/officeDocument/2006/relationships/hyperlink" Target="https://doi.org/10.12688/f1000research.17706.3" TargetMode="External"/><Relationship Id="rId101" Type="http://schemas.openxmlformats.org/officeDocument/2006/relationships/hyperlink" Target="https://doi.org/10.1158/1055-9965.EPI-16-0538" TargetMode="External"/><Relationship Id="rId4" Type="http://schemas.openxmlformats.org/officeDocument/2006/relationships/hyperlink" Target="https://doi.org/10.1186/s12866-020-01801-y" TargetMode="External"/><Relationship Id="rId9" Type="http://schemas.openxmlformats.org/officeDocument/2006/relationships/hyperlink" Target="https://doi.org/10.1128/spectrum.02814-22" TargetMode="External"/><Relationship Id="rId13" Type="http://schemas.openxmlformats.org/officeDocument/2006/relationships/hyperlink" Target="https://doi.org/10.1186/s40168-018-0448-x" TargetMode="External"/><Relationship Id="rId18" Type="http://schemas.openxmlformats.org/officeDocument/2006/relationships/hyperlink" Target="http://dx.doi.org/10.1097/MD.0000000000005821" TargetMode="External"/><Relationship Id="rId39" Type="http://schemas.openxmlformats.org/officeDocument/2006/relationships/hyperlink" Target="https://doi.org/10.1038/srep06990" TargetMode="External"/><Relationship Id="rId34" Type="http://schemas.openxmlformats.org/officeDocument/2006/relationships/hyperlink" Target="https://doi.org/10.1016/j.chom.2019.03.001" TargetMode="External"/><Relationship Id="rId50" Type="http://schemas.openxmlformats.org/officeDocument/2006/relationships/hyperlink" Target="https://doi.org/10.1016/j.ebiom.2023.104731" TargetMode="External"/><Relationship Id="rId55" Type="http://schemas.openxmlformats.org/officeDocument/2006/relationships/hyperlink" Target="https://doi.org/10.1186/s12866-020-01733-7" TargetMode="External"/><Relationship Id="rId76" Type="http://schemas.openxmlformats.org/officeDocument/2006/relationships/hyperlink" Target="https://doi.org/10.3389/fneur.2022.938360" TargetMode="External"/><Relationship Id="rId97" Type="http://schemas.openxmlformats.org/officeDocument/2006/relationships/hyperlink" Target="https://doi.org/10.1038/s41598-017-06361-2" TargetMode="External"/><Relationship Id="rId104" Type="http://schemas.openxmlformats.org/officeDocument/2006/relationships/table" Target="../tables/table1.xml"/><Relationship Id="rId7" Type="http://schemas.openxmlformats.org/officeDocument/2006/relationships/hyperlink" Target="https://doi.org/10.1128/spectrum.02410-21" TargetMode="External"/><Relationship Id="rId71" Type="http://schemas.openxmlformats.org/officeDocument/2006/relationships/hyperlink" Target="https://doi.org/10.3389/fmicb.2016.01270" TargetMode="External"/><Relationship Id="rId92" Type="http://schemas.openxmlformats.org/officeDocument/2006/relationships/hyperlink" Target="https://doi.org/10.1038/ismej.2016.199" TargetMode="External"/><Relationship Id="rId2" Type="http://schemas.openxmlformats.org/officeDocument/2006/relationships/hyperlink" Target="https://doi.org/10.1080/20002297.2019.1581513" TargetMode="External"/><Relationship Id="rId29" Type="http://schemas.openxmlformats.org/officeDocument/2006/relationships/hyperlink" Target="https://doi.org/10.1038/s41522-022-00289-w" TargetMode="External"/><Relationship Id="rId24" Type="http://schemas.openxmlformats.org/officeDocument/2006/relationships/hyperlink" Target="https://doi.org/10.3389/fcimb.2023.1114014" TargetMode="External"/><Relationship Id="rId40" Type="http://schemas.openxmlformats.org/officeDocument/2006/relationships/hyperlink" Target="https://doi.org/10.1038/s41598-022-26528-w" TargetMode="External"/><Relationship Id="rId45" Type="http://schemas.openxmlformats.org/officeDocument/2006/relationships/hyperlink" Target="https://doi.org/10.1038/s41598-017-06361-2" TargetMode="External"/><Relationship Id="rId66" Type="http://schemas.openxmlformats.org/officeDocument/2006/relationships/hyperlink" Target="https://doi.org/10.3389/fmed.2022.821777" TargetMode="External"/><Relationship Id="rId87" Type="http://schemas.openxmlformats.org/officeDocument/2006/relationships/hyperlink" Target="https://doi.org/10.1096/fj.201700697RR" TargetMode="External"/><Relationship Id="rId61" Type="http://schemas.openxmlformats.org/officeDocument/2006/relationships/hyperlink" Target="https://doi.org/10.3389/fcimb.2019.00475" TargetMode="External"/><Relationship Id="rId82" Type="http://schemas.openxmlformats.org/officeDocument/2006/relationships/hyperlink" Target="https://doi.org/10.3389/fcimb.2022.1010853" TargetMode="External"/><Relationship Id="rId19" Type="http://schemas.openxmlformats.org/officeDocument/2006/relationships/hyperlink" Target="https://doi.org/10.1177/0022034519889015" TargetMode="External"/><Relationship Id="rId14" Type="http://schemas.openxmlformats.org/officeDocument/2006/relationships/hyperlink" Target="https://doi.org/10.1371/journal.pone.0112373" TargetMode="External"/><Relationship Id="rId30" Type="http://schemas.openxmlformats.org/officeDocument/2006/relationships/hyperlink" Target="https://doi.org/10.12688/f1000research.27502.2" TargetMode="External"/><Relationship Id="rId35" Type="http://schemas.openxmlformats.org/officeDocument/2006/relationships/hyperlink" Target="https://doi.org/10.1016/j.isci.2020.100884" TargetMode="External"/><Relationship Id="rId56" Type="http://schemas.openxmlformats.org/officeDocument/2006/relationships/hyperlink" Target="https://doi.org/10.3389/fmicb.2020.00629" TargetMode="External"/><Relationship Id="rId77" Type="http://schemas.openxmlformats.org/officeDocument/2006/relationships/hyperlink" Target="https://doi.org/10.1016/j.micres.2022.127055" TargetMode="External"/><Relationship Id="rId100" Type="http://schemas.openxmlformats.org/officeDocument/2006/relationships/hyperlink" Target="https://doi.org/10.12688/f1000research.17706.3" TargetMode="External"/><Relationship Id="rId8" Type="http://schemas.openxmlformats.org/officeDocument/2006/relationships/hyperlink" Target="https://doi.org/10.1128/spectrum.02410-21" TargetMode="External"/><Relationship Id="rId51" Type="http://schemas.openxmlformats.org/officeDocument/2006/relationships/hyperlink" Target="https://doi.org/10.1155/2020/2681791" TargetMode="External"/><Relationship Id="rId72" Type="http://schemas.openxmlformats.org/officeDocument/2006/relationships/hyperlink" Target="https://doi.org/10.3389/fcimb.2020.00124" TargetMode="External"/><Relationship Id="rId93" Type="http://schemas.openxmlformats.org/officeDocument/2006/relationships/hyperlink" Target="https://doi.org/10.1158/1055-9965.EPI-18-0312" TargetMode="External"/><Relationship Id="rId98" Type="http://schemas.openxmlformats.org/officeDocument/2006/relationships/hyperlink" Target="https://doi.org/10.1128/mSystems.00156-20" TargetMode="External"/><Relationship Id="rId3" Type="http://schemas.openxmlformats.org/officeDocument/2006/relationships/hyperlink" Target="https://doi.org/10.1038/nature18927"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186/s12903-020-01070-1" TargetMode="External"/><Relationship Id="rId13" Type="http://schemas.openxmlformats.org/officeDocument/2006/relationships/hyperlink" Target="https://doi.org/10.1038/s41598-020-79875-x" TargetMode="External"/><Relationship Id="rId18" Type="http://schemas.openxmlformats.org/officeDocument/2006/relationships/hyperlink" Target="https://doi.org/10.3389/fmicb.2023.1182346" TargetMode="External"/><Relationship Id="rId3" Type="http://schemas.openxmlformats.org/officeDocument/2006/relationships/hyperlink" Target="https://doi.org/10.1080/20002297.2025.2489603" TargetMode="External"/><Relationship Id="rId21" Type="http://schemas.openxmlformats.org/officeDocument/2006/relationships/table" Target="../tables/table6.xml"/><Relationship Id="rId7" Type="http://schemas.openxmlformats.org/officeDocument/2006/relationships/hyperlink" Target="https://doi.org/10.3389/fcimb.2024.1405699" TargetMode="External"/><Relationship Id="rId12" Type="http://schemas.openxmlformats.org/officeDocument/2006/relationships/hyperlink" Target="https://doi.org/10.21203/rs.3.rs-54822/v1" TargetMode="External"/><Relationship Id="rId17" Type="http://schemas.openxmlformats.org/officeDocument/2006/relationships/hyperlink" Target="https://doi.org/10.3389/fmicb.2025.1658693" TargetMode="External"/><Relationship Id="rId2" Type="http://schemas.openxmlformats.org/officeDocument/2006/relationships/hyperlink" Target="https://doi.org/10.3389/fcimb.2021.663068" TargetMode="External"/><Relationship Id="rId16" Type="http://schemas.openxmlformats.org/officeDocument/2006/relationships/hyperlink" Target="https://doi.org/10.1038/s41598-023-45755-3" TargetMode="External"/><Relationship Id="rId20" Type="http://schemas.openxmlformats.org/officeDocument/2006/relationships/printerSettings" Target="../printerSettings/printerSettings2.bin"/><Relationship Id="rId1" Type="http://schemas.openxmlformats.org/officeDocument/2006/relationships/hyperlink" Target="https://doi.org/10.1038/s41396-017-0037-1" TargetMode="External"/><Relationship Id="rId6" Type="http://schemas.openxmlformats.org/officeDocument/2006/relationships/hyperlink" Target="https://doi.org/10.1101/2025.09.29.679276" TargetMode="External"/><Relationship Id="rId11" Type="http://schemas.openxmlformats.org/officeDocument/2006/relationships/hyperlink" Target="https://doi.org/10.1038/s41522-023-00391-7" TargetMode="External"/><Relationship Id="rId5" Type="http://schemas.openxmlformats.org/officeDocument/2006/relationships/hyperlink" Target="https://doi.org/10.1186/s40168-018-0448-x" TargetMode="External"/><Relationship Id="rId15" Type="http://schemas.openxmlformats.org/officeDocument/2006/relationships/hyperlink" Target="https://doi.org/10.1101/gr.140608.112" TargetMode="External"/><Relationship Id="rId10" Type="http://schemas.openxmlformats.org/officeDocument/2006/relationships/hyperlink" Target="https://doi.org/10.1016/j.archoralbio.2021.105118" TargetMode="External"/><Relationship Id="rId19" Type="http://schemas.openxmlformats.org/officeDocument/2006/relationships/hyperlink" Target="https://doi.org/10.3389/fcimb.2020.544704" TargetMode="External"/><Relationship Id="rId4" Type="http://schemas.openxmlformats.org/officeDocument/2006/relationships/hyperlink" Target="https://doi.org/10.3233/JAD-215520" TargetMode="External"/><Relationship Id="rId9" Type="http://schemas.openxmlformats.org/officeDocument/2006/relationships/hyperlink" Target="https://doi.org/10.1038/s41598-023-47636-1" TargetMode="External"/><Relationship Id="rId14" Type="http://schemas.openxmlformats.org/officeDocument/2006/relationships/hyperlink" Target="https://doi.org/10.7554/eLife.426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F3BCE-AB4E-4183-A732-8EE43D3727A9}">
  <dimension ref="A1:C9"/>
  <sheetViews>
    <sheetView tabSelected="1" workbookViewId="0">
      <selection activeCell="C7" sqref="C7"/>
    </sheetView>
  </sheetViews>
  <sheetFormatPr defaultRowHeight="14.4" x14ac:dyDescent="0.3"/>
  <cols>
    <col min="1" max="1" width="18" customWidth="1"/>
    <col min="2" max="2" width="12.109375" customWidth="1"/>
    <col min="3" max="3" width="79.33203125" customWidth="1"/>
  </cols>
  <sheetData>
    <row r="1" spans="1:3" x14ac:dyDescent="0.3">
      <c r="A1" s="40" t="s">
        <v>560</v>
      </c>
      <c r="B1" s="40"/>
      <c r="C1" s="40"/>
    </row>
    <row r="2" spans="1:3" ht="42.6" customHeight="1" x14ac:dyDescent="0.3">
      <c r="A2" s="40"/>
      <c r="B2" s="40"/>
      <c r="C2" s="40"/>
    </row>
    <row r="3" spans="1:3" x14ac:dyDescent="0.3">
      <c r="A3" s="2" t="s">
        <v>540</v>
      </c>
      <c r="B3" s="2" t="s">
        <v>552</v>
      </c>
      <c r="C3" s="2" t="s">
        <v>553</v>
      </c>
    </row>
    <row r="4" spans="1:3" ht="28.8" x14ac:dyDescent="0.3">
      <c r="A4" s="2" t="s">
        <v>539</v>
      </c>
      <c r="B4" s="2" t="s">
        <v>541</v>
      </c>
      <c r="C4" s="1" t="s">
        <v>554</v>
      </c>
    </row>
    <row r="5" spans="1:3" ht="43.2" x14ac:dyDescent="0.3">
      <c r="A5" s="2" t="s">
        <v>547</v>
      </c>
      <c r="B5" s="2" t="s">
        <v>542</v>
      </c>
      <c r="C5" s="1" t="s">
        <v>556</v>
      </c>
    </row>
    <row r="6" spans="1:3" ht="43.2" x14ac:dyDescent="0.3">
      <c r="A6" s="2" t="s">
        <v>548</v>
      </c>
      <c r="B6" s="2" t="s">
        <v>543</v>
      </c>
      <c r="C6" s="1" t="s">
        <v>555</v>
      </c>
    </row>
    <row r="7" spans="1:3" ht="43.2" x14ac:dyDescent="0.3">
      <c r="A7" s="2" t="s">
        <v>549</v>
      </c>
      <c r="B7" s="2" t="s">
        <v>544</v>
      </c>
      <c r="C7" s="1" t="s">
        <v>558</v>
      </c>
    </row>
    <row r="8" spans="1:3" ht="43.2" x14ac:dyDescent="0.3">
      <c r="A8" s="2" t="s">
        <v>550</v>
      </c>
      <c r="B8" s="2" t="s">
        <v>545</v>
      </c>
      <c r="C8" s="1" t="s">
        <v>557</v>
      </c>
    </row>
    <row r="9" spans="1:3" ht="43.2" x14ac:dyDescent="0.3">
      <c r="A9" s="2" t="s">
        <v>551</v>
      </c>
      <c r="B9" s="2" t="s">
        <v>546</v>
      </c>
      <c r="C9" s="1" t="s">
        <v>559</v>
      </c>
    </row>
  </sheetData>
  <mergeCells count="1">
    <mergeCell ref="A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C3872-2002-4F12-B1BF-913F199022EC}">
  <dimension ref="A1:L111"/>
  <sheetViews>
    <sheetView zoomScale="96" zoomScaleNormal="100" workbookViewId="0">
      <selection activeCell="C19" sqref="C19"/>
    </sheetView>
  </sheetViews>
  <sheetFormatPr defaultColWidth="8.77734375" defaultRowHeight="14.4" x14ac:dyDescent="0.3"/>
  <cols>
    <col min="1" max="1" width="5.109375" customWidth="1"/>
    <col min="2" max="2" width="21.77734375" customWidth="1"/>
    <col min="3" max="3" width="25.33203125" style="4" customWidth="1"/>
    <col min="4" max="4" width="16.44140625" customWidth="1"/>
    <col min="5" max="5" width="14.109375" customWidth="1"/>
    <col min="6" max="6" width="15.109375" customWidth="1"/>
    <col min="7" max="7" width="28.109375" customWidth="1"/>
    <col min="8" max="8" width="15.44140625" style="4" customWidth="1"/>
    <col min="9" max="9" width="17.109375" customWidth="1"/>
    <col min="10" max="10" width="21.44140625" style="4" customWidth="1"/>
    <col min="11" max="11" width="44.77734375" customWidth="1"/>
    <col min="28" max="33" width="8.77734375" customWidth="1"/>
  </cols>
  <sheetData>
    <row r="1" spans="1:12" ht="45" customHeight="1" x14ac:dyDescent="0.3">
      <c r="A1" s="34" t="s">
        <v>515</v>
      </c>
      <c r="B1" s="35"/>
      <c r="C1" s="35"/>
      <c r="D1" s="35"/>
      <c r="E1" s="35"/>
      <c r="F1" s="35"/>
      <c r="G1" s="35"/>
      <c r="H1" s="35"/>
      <c r="I1" s="35"/>
      <c r="J1" s="35"/>
      <c r="K1" s="35"/>
    </row>
    <row r="2" spans="1:12" s="3" customFormat="1" ht="34.799999999999997" customHeight="1" x14ac:dyDescent="0.3">
      <c r="A2" s="15"/>
      <c r="B2" s="16" t="s">
        <v>492</v>
      </c>
      <c r="C2" s="16" t="s">
        <v>0</v>
      </c>
      <c r="D2" s="16" t="s">
        <v>1</v>
      </c>
      <c r="E2" s="16" t="s">
        <v>507</v>
      </c>
      <c r="F2" s="16" t="s">
        <v>508</v>
      </c>
      <c r="G2" s="16" t="s">
        <v>2</v>
      </c>
      <c r="H2" s="16" t="s">
        <v>3</v>
      </c>
      <c r="I2" s="16" t="s">
        <v>4</v>
      </c>
      <c r="J2" s="16" t="s">
        <v>436</v>
      </c>
      <c r="K2" s="16" t="s">
        <v>5</v>
      </c>
    </row>
    <row r="3" spans="1:12" x14ac:dyDescent="0.3">
      <c r="A3" s="8">
        <v>1</v>
      </c>
      <c r="B3" s="9" t="s">
        <v>6</v>
      </c>
      <c r="C3" s="9" t="s">
        <v>6</v>
      </c>
      <c r="D3" s="9">
        <v>49</v>
      </c>
      <c r="E3" s="9">
        <v>49</v>
      </c>
      <c r="F3" s="2">
        <v>0</v>
      </c>
      <c r="G3" s="9" t="s">
        <v>7</v>
      </c>
      <c r="H3" s="9" t="s">
        <v>8</v>
      </c>
      <c r="I3" s="9" t="s">
        <v>9</v>
      </c>
      <c r="J3" s="9" t="s">
        <v>10</v>
      </c>
      <c r="K3" s="29" t="s">
        <v>11</v>
      </c>
      <c r="L3" s="12"/>
    </row>
    <row r="4" spans="1:12" x14ac:dyDescent="0.3">
      <c r="A4" s="8">
        <v>2</v>
      </c>
      <c r="B4" s="2" t="s">
        <v>12</v>
      </c>
      <c r="C4" s="2" t="s">
        <v>12</v>
      </c>
      <c r="D4" s="2">
        <v>39</v>
      </c>
      <c r="E4" s="2">
        <v>39</v>
      </c>
      <c r="F4" s="2">
        <v>0</v>
      </c>
      <c r="G4" s="2" t="s">
        <v>7</v>
      </c>
      <c r="H4" s="2" t="s">
        <v>8</v>
      </c>
      <c r="I4" s="2" t="s">
        <v>9</v>
      </c>
      <c r="J4" s="2" t="s">
        <v>13</v>
      </c>
      <c r="K4" s="6" t="s">
        <v>14</v>
      </c>
      <c r="L4" s="12"/>
    </row>
    <row r="5" spans="1:12" x14ac:dyDescent="0.3">
      <c r="A5" s="8">
        <v>3</v>
      </c>
      <c r="B5" s="2" t="s">
        <v>15</v>
      </c>
      <c r="C5" s="2" t="s">
        <v>15</v>
      </c>
      <c r="D5" s="2">
        <v>135</v>
      </c>
      <c r="E5" s="2">
        <v>135</v>
      </c>
      <c r="F5" s="2">
        <v>0</v>
      </c>
      <c r="G5" s="2" t="s">
        <v>7</v>
      </c>
      <c r="H5" s="2" t="s">
        <v>16</v>
      </c>
      <c r="I5" s="2" t="s">
        <v>17</v>
      </c>
      <c r="J5" s="2" t="s">
        <v>18</v>
      </c>
      <c r="K5" s="6" t="s">
        <v>19</v>
      </c>
      <c r="L5" s="12"/>
    </row>
    <row r="6" spans="1:12" x14ac:dyDescent="0.3">
      <c r="A6" s="8">
        <v>4</v>
      </c>
      <c r="B6" s="2" t="s">
        <v>24</v>
      </c>
      <c r="C6" s="2" t="s">
        <v>24</v>
      </c>
      <c r="D6" s="2">
        <v>40</v>
      </c>
      <c r="E6" s="2">
        <v>40</v>
      </c>
      <c r="F6" s="2">
        <v>0</v>
      </c>
      <c r="G6" s="2" t="s">
        <v>7</v>
      </c>
      <c r="H6" s="2" t="s">
        <v>25</v>
      </c>
      <c r="I6" s="2" t="s">
        <v>17</v>
      </c>
      <c r="J6" s="2" t="s">
        <v>26</v>
      </c>
      <c r="K6" s="6" t="s">
        <v>27</v>
      </c>
      <c r="L6" s="12"/>
    </row>
    <row r="7" spans="1:12" x14ac:dyDescent="0.3">
      <c r="A7" s="8">
        <v>5</v>
      </c>
      <c r="B7" s="2" t="s">
        <v>28</v>
      </c>
      <c r="C7" s="2" t="s">
        <v>28</v>
      </c>
      <c r="D7" s="2">
        <v>27</v>
      </c>
      <c r="E7" s="2">
        <v>27</v>
      </c>
      <c r="F7" s="2">
        <v>0</v>
      </c>
      <c r="G7" s="2" t="s">
        <v>7</v>
      </c>
      <c r="H7" s="2" t="s">
        <v>8</v>
      </c>
      <c r="I7" s="2" t="s">
        <v>9</v>
      </c>
      <c r="J7" s="2" t="s">
        <v>29</v>
      </c>
      <c r="K7" s="6" t="s">
        <v>30</v>
      </c>
      <c r="L7" s="12"/>
    </row>
    <row r="8" spans="1:12" x14ac:dyDescent="0.3">
      <c r="A8" s="8">
        <v>6</v>
      </c>
      <c r="B8" s="2" t="s">
        <v>31</v>
      </c>
      <c r="C8" s="2" t="s">
        <v>31</v>
      </c>
      <c r="D8" s="2">
        <v>62</v>
      </c>
      <c r="E8" s="2">
        <v>62</v>
      </c>
      <c r="F8" s="2">
        <v>0</v>
      </c>
      <c r="G8" s="2" t="s">
        <v>7</v>
      </c>
      <c r="H8" s="2" t="s">
        <v>32</v>
      </c>
      <c r="I8" s="2" t="s">
        <v>17</v>
      </c>
      <c r="J8" s="2" t="s">
        <v>33</v>
      </c>
      <c r="K8" s="6" t="s">
        <v>34</v>
      </c>
      <c r="L8" s="12"/>
    </row>
    <row r="9" spans="1:12" x14ac:dyDescent="0.3">
      <c r="A9" s="8">
        <v>7</v>
      </c>
      <c r="B9" s="2" t="s">
        <v>35</v>
      </c>
      <c r="C9" s="2" t="s">
        <v>35</v>
      </c>
      <c r="D9" s="2">
        <v>759</v>
      </c>
      <c r="E9" s="2">
        <v>759</v>
      </c>
      <c r="F9" s="2">
        <v>0</v>
      </c>
      <c r="G9" s="2" t="s">
        <v>7</v>
      </c>
      <c r="H9" s="2" t="s">
        <v>36</v>
      </c>
      <c r="I9" s="2" t="s">
        <v>9</v>
      </c>
      <c r="J9" s="2" t="s">
        <v>37</v>
      </c>
      <c r="K9" s="6" t="s">
        <v>38</v>
      </c>
      <c r="L9" s="12"/>
    </row>
    <row r="10" spans="1:12" x14ac:dyDescent="0.3">
      <c r="A10" s="8">
        <v>8</v>
      </c>
      <c r="B10" s="2" t="s">
        <v>35</v>
      </c>
      <c r="C10" s="2" t="s">
        <v>39</v>
      </c>
      <c r="D10" s="2">
        <v>183</v>
      </c>
      <c r="E10" s="2">
        <v>183</v>
      </c>
      <c r="F10" s="2">
        <v>0</v>
      </c>
      <c r="G10" s="2" t="s">
        <v>7</v>
      </c>
      <c r="H10" s="2" t="s">
        <v>36</v>
      </c>
      <c r="I10" s="2" t="s">
        <v>9</v>
      </c>
      <c r="J10" s="2" t="s">
        <v>37</v>
      </c>
      <c r="K10" s="6" t="s">
        <v>38</v>
      </c>
      <c r="L10" s="12"/>
    </row>
    <row r="11" spans="1:12" x14ac:dyDescent="0.3">
      <c r="A11" s="8">
        <v>9</v>
      </c>
      <c r="B11" s="2" t="s">
        <v>40</v>
      </c>
      <c r="C11" s="2" t="s">
        <v>40</v>
      </c>
      <c r="D11" s="2">
        <v>286</v>
      </c>
      <c r="E11" s="2">
        <v>286</v>
      </c>
      <c r="F11" s="2">
        <v>0</v>
      </c>
      <c r="G11" s="2" t="s">
        <v>7</v>
      </c>
      <c r="H11" s="2" t="s">
        <v>36</v>
      </c>
      <c r="I11" s="2" t="s">
        <v>9</v>
      </c>
      <c r="J11" s="2" t="s">
        <v>41</v>
      </c>
      <c r="K11" s="6" t="s">
        <v>42</v>
      </c>
      <c r="L11" s="12"/>
    </row>
    <row r="12" spans="1:12" x14ac:dyDescent="0.3">
      <c r="A12" s="8">
        <v>10</v>
      </c>
      <c r="B12" s="2" t="s">
        <v>40</v>
      </c>
      <c r="C12" s="2" t="s">
        <v>43</v>
      </c>
      <c r="D12" s="2">
        <v>431</v>
      </c>
      <c r="E12" s="2">
        <v>431</v>
      </c>
      <c r="F12" s="2">
        <v>0</v>
      </c>
      <c r="G12" s="2" t="s">
        <v>7</v>
      </c>
      <c r="H12" s="2" t="s">
        <v>36</v>
      </c>
      <c r="I12" s="2" t="s">
        <v>9</v>
      </c>
      <c r="J12" s="2" t="s">
        <v>41</v>
      </c>
      <c r="K12" s="6" t="s">
        <v>42</v>
      </c>
      <c r="L12" s="12"/>
    </row>
    <row r="13" spans="1:12" x14ac:dyDescent="0.3">
      <c r="A13" s="8">
        <v>11</v>
      </c>
      <c r="B13" s="2" t="s">
        <v>44</v>
      </c>
      <c r="C13" s="2" t="s">
        <v>44</v>
      </c>
      <c r="D13" s="2">
        <v>10</v>
      </c>
      <c r="E13" s="2">
        <v>10</v>
      </c>
      <c r="F13" s="2">
        <v>0</v>
      </c>
      <c r="G13" s="2" t="s">
        <v>7</v>
      </c>
      <c r="H13" s="2" t="s">
        <v>45</v>
      </c>
      <c r="I13" s="2" t="s">
        <v>17</v>
      </c>
      <c r="J13" s="2" t="s">
        <v>46</v>
      </c>
      <c r="K13" s="6" t="s">
        <v>47</v>
      </c>
      <c r="L13" s="12"/>
    </row>
    <row r="14" spans="1:12" x14ac:dyDescent="0.3">
      <c r="A14" s="8">
        <v>12</v>
      </c>
      <c r="B14" s="2" t="s">
        <v>52</v>
      </c>
      <c r="C14" s="2" t="s">
        <v>52</v>
      </c>
      <c r="D14" s="2">
        <v>286</v>
      </c>
      <c r="E14" s="2">
        <v>286</v>
      </c>
      <c r="F14" s="2">
        <v>0</v>
      </c>
      <c r="G14" s="2" t="s">
        <v>7</v>
      </c>
      <c r="H14" s="2" t="s">
        <v>53</v>
      </c>
      <c r="I14" s="2" t="s">
        <v>9</v>
      </c>
      <c r="J14" s="2" t="s">
        <v>54</v>
      </c>
      <c r="K14" s="6" t="s">
        <v>55</v>
      </c>
      <c r="L14" s="12"/>
    </row>
    <row r="15" spans="1:12" x14ac:dyDescent="0.3">
      <c r="A15" s="8">
        <v>13</v>
      </c>
      <c r="B15" s="2" t="s">
        <v>493</v>
      </c>
      <c r="C15" s="2" t="s">
        <v>56</v>
      </c>
      <c r="D15" s="2">
        <v>185</v>
      </c>
      <c r="E15" s="2">
        <v>185</v>
      </c>
      <c r="F15" s="2">
        <v>0</v>
      </c>
      <c r="G15" s="2" t="s">
        <v>7</v>
      </c>
      <c r="H15" s="2" t="s">
        <v>53</v>
      </c>
      <c r="I15" s="2" t="s">
        <v>9</v>
      </c>
      <c r="J15" s="5" t="s">
        <v>57</v>
      </c>
      <c r="K15" s="6" t="s">
        <v>58</v>
      </c>
      <c r="L15" s="12"/>
    </row>
    <row r="16" spans="1:12" x14ac:dyDescent="0.3">
      <c r="A16" s="8">
        <v>14</v>
      </c>
      <c r="B16" s="2" t="s">
        <v>59</v>
      </c>
      <c r="C16" s="2" t="s">
        <v>59</v>
      </c>
      <c r="D16" s="2">
        <v>161</v>
      </c>
      <c r="E16" s="2">
        <v>161</v>
      </c>
      <c r="F16" s="2">
        <v>0</v>
      </c>
      <c r="G16" s="2" t="s">
        <v>7</v>
      </c>
      <c r="H16" s="2" t="s">
        <v>25</v>
      </c>
      <c r="I16" s="2" t="s">
        <v>9</v>
      </c>
      <c r="J16" s="2" t="s">
        <v>60</v>
      </c>
      <c r="K16" s="6" t="s">
        <v>61</v>
      </c>
      <c r="L16" s="12"/>
    </row>
    <row r="17" spans="1:12" x14ac:dyDescent="0.3">
      <c r="A17" s="8">
        <v>15</v>
      </c>
      <c r="B17" s="2" t="s">
        <v>494</v>
      </c>
      <c r="C17" s="2" t="s">
        <v>62</v>
      </c>
      <c r="D17" s="2">
        <v>986</v>
      </c>
      <c r="E17" s="2">
        <v>986</v>
      </c>
      <c r="F17" s="2">
        <v>0</v>
      </c>
      <c r="G17" s="2" t="s">
        <v>7</v>
      </c>
      <c r="H17" s="2" t="s">
        <v>53</v>
      </c>
      <c r="I17" s="2" t="s">
        <v>9</v>
      </c>
      <c r="J17" s="2" t="s">
        <v>63</v>
      </c>
      <c r="K17" s="7" t="s">
        <v>64</v>
      </c>
      <c r="L17" s="12"/>
    </row>
    <row r="18" spans="1:12" x14ac:dyDescent="0.3">
      <c r="A18" s="8">
        <v>16</v>
      </c>
      <c r="B18" s="2" t="s">
        <v>494</v>
      </c>
      <c r="C18" s="2" t="s">
        <v>65</v>
      </c>
      <c r="D18" s="2">
        <v>101</v>
      </c>
      <c r="E18" s="2">
        <v>101</v>
      </c>
      <c r="F18" s="2">
        <v>0</v>
      </c>
      <c r="G18" s="2" t="s">
        <v>7</v>
      </c>
      <c r="H18" s="2" t="s">
        <v>53</v>
      </c>
      <c r="I18" s="2" t="s">
        <v>17</v>
      </c>
      <c r="J18" s="2" t="s">
        <v>63</v>
      </c>
      <c r="K18" s="7" t="s">
        <v>64</v>
      </c>
      <c r="L18" s="12"/>
    </row>
    <row r="19" spans="1:12" x14ac:dyDescent="0.3">
      <c r="A19" s="8">
        <v>17</v>
      </c>
      <c r="B19" s="2" t="s">
        <v>66</v>
      </c>
      <c r="C19" s="2" t="s">
        <v>66</v>
      </c>
      <c r="D19" s="2">
        <v>136</v>
      </c>
      <c r="E19" s="2">
        <v>136</v>
      </c>
      <c r="F19" s="2">
        <v>0</v>
      </c>
      <c r="G19" s="2" t="s">
        <v>7</v>
      </c>
      <c r="H19" s="2" t="s">
        <v>36</v>
      </c>
      <c r="I19" s="2" t="s">
        <v>9</v>
      </c>
      <c r="J19" s="5" t="s">
        <v>67</v>
      </c>
      <c r="K19" s="6" t="s">
        <v>68</v>
      </c>
      <c r="L19" s="12"/>
    </row>
    <row r="20" spans="1:12" x14ac:dyDescent="0.3">
      <c r="A20" s="8">
        <v>18</v>
      </c>
      <c r="B20" s="2" t="s">
        <v>69</v>
      </c>
      <c r="C20" s="2" t="s">
        <v>69</v>
      </c>
      <c r="D20" s="2">
        <v>43</v>
      </c>
      <c r="E20" s="2">
        <v>43</v>
      </c>
      <c r="F20" s="2">
        <v>0</v>
      </c>
      <c r="G20" s="2" t="s">
        <v>7</v>
      </c>
      <c r="H20" s="2" t="s">
        <v>70</v>
      </c>
      <c r="I20" s="2" t="s">
        <v>9</v>
      </c>
      <c r="J20" s="2" t="s">
        <v>71</v>
      </c>
      <c r="K20" s="6" t="s">
        <v>72</v>
      </c>
      <c r="L20" s="12"/>
    </row>
    <row r="21" spans="1:12" x14ac:dyDescent="0.3">
      <c r="A21" s="8">
        <v>19</v>
      </c>
      <c r="B21" s="2" t="s">
        <v>73</v>
      </c>
      <c r="C21" s="2" t="s">
        <v>73</v>
      </c>
      <c r="D21" s="2">
        <v>112</v>
      </c>
      <c r="E21" s="2">
        <v>112</v>
      </c>
      <c r="F21" s="2">
        <v>0</v>
      </c>
      <c r="G21" s="2" t="s">
        <v>7</v>
      </c>
      <c r="H21" s="2" t="s">
        <v>74</v>
      </c>
      <c r="I21" s="2" t="s">
        <v>9</v>
      </c>
      <c r="J21" s="2" t="s">
        <v>75</v>
      </c>
      <c r="K21" s="6" t="s">
        <v>76</v>
      </c>
      <c r="L21" s="12"/>
    </row>
    <row r="22" spans="1:12" x14ac:dyDescent="0.3">
      <c r="A22" s="8">
        <v>20</v>
      </c>
      <c r="B22" s="2" t="s">
        <v>309</v>
      </c>
      <c r="C22" s="2" t="s">
        <v>77</v>
      </c>
      <c r="D22" s="2">
        <v>10</v>
      </c>
      <c r="E22" s="2">
        <v>10</v>
      </c>
      <c r="F22" s="2">
        <v>0</v>
      </c>
      <c r="G22" s="2" t="s">
        <v>7</v>
      </c>
      <c r="H22" s="2" t="s">
        <v>53</v>
      </c>
      <c r="I22" s="2" t="s">
        <v>9</v>
      </c>
      <c r="J22" s="2" t="s">
        <v>78</v>
      </c>
      <c r="K22" s="6" t="s">
        <v>79</v>
      </c>
      <c r="L22" s="12"/>
    </row>
    <row r="23" spans="1:12" x14ac:dyDescent="0.3">
      <c r="A23" s="8">
        <v>21</v>
      </c>
      <c r="B23" s="2" t="s">
        <v>80</v>
      </c>
      <c r="C23" s="2" t="s">
        <v>80</v>
      </c>
      <c r="D23" s="2">
        <v>263</v>
      </c>
      <c r="E23" s="2">
        <v>263</v>
      </c>
      <c r="F23" s="2">
        <v>0</v>
      </c>
      <c r="G23" s="2" t="s">
        <v>7</v>
      </c>
      <c r="H23" s="2" t="s">
        <v>53</v>
      </c>
      <c r="I23" s="2" t="s">
        <v>9</v>
      </c>
      <c r="J23" s="2" t="s">
        <v>81</v>
      </c>
      <c r="K23" s="6" t="s">
        <v>82</v>
      </c>
      <c r="L23" s="12"/>
    </row>
    <row r="24" spans="1:12" x14ac:dyDescent="0.3">
      <c r="A24" s="8">
        <v>22</v>
      </c>
      <c r="B24" s="2" t="s">
        <v>310</v>
      </c>
      <c r="C24" s="2" t="s">
        <v>83</v>
      </c>
      <c r="D24" s="2">
        <v>33</v>
      </c>
      <c r="E24" s="2">
        <v>33</v>
      </c>
      <c r="F24" s="2">
        <v>0</v>
      </c>
      <c r="G24" s="2" t="s">
        <v>7</v>
      </c>
      <c r="H24" s="2" t="s">
        <v>84</v>
      </c>
      <c r="I24" s="2" t="s">
        <v>9</v>
      </c>
      <c r="J24" s="2" t="s">
        <v>85</v>
      </c>
      <c r="K24" s="6" t="s">
        <v>86</v>
      </c>
      <c r="L24" s="12"/>
    </row>
    <row r="25" spans="1:12" x14ac:dyDescent="0.3">
      <c r="A25" s="8">
        <v>23</v>
      </c>
      <c r="B25" s="2" t="s">
        <v>90</v>
      </c>
      <c r="C25" s="2" t="s">
        <v>90</v>
      </c>
      <c r="D25" s="2">
        <v>24</v>
      </c>
      <c r="E25" s="2">
        <v>24</v>
      </c>
      <c r="F25" s="2">
        <v>0</v>
      </c>
      <c r="G25" s="2" t="s">
        <v>7</v>
      </c>
      <c r="H25" s="2" t="s">
        <v>91</v>
      </c>
      <c r="I25" s="2" t="s">
        <v>17</v>
      </c>
      <c r="J25" s="2" t="s">
        <v>92</v>
      </c>
      <c r="K25" s="6" t="s">
        <v>93</v>
      </c>
      <c r="L25" s="12"/>
    </row>
    <row r="26" spans="1:12" x14ac:dyDescent="0.3">
      <c r="A26" s="8">
        <v>24</v>
      </c>
      <c r="B26" s="2" t="s">
        <v>94</v>
      </c>
      <c r="C26" s="2" t="s">
        <v>94</v>
      </c>
      <c r="D26" s="2">
        <v>44</v>
      </c>
      <c r="E26" s="2">
        <v>44</v>
      </c>
      <c r="F26" s="2">
        <v>0</v>
      </c>
      <c r="G26" s="2" t="s">
        <v>7</v>
      </c>
      <c r="H26" s="2" t="s">
        <v>49</v>
      </c>
      <c r="I26" s="2" t="s">
        <v>9</v>
      </c>
      <c r="J26" s="2" t="s">
        <v>95</v>
      </c>
      <c r="K26" s="6" t="s">
        <v>96</v>
      </c>
      <c r="L26" s="12"/>
    </row>
    <row r="27" spans="1:12" x14ac:dyDescent="0.3">
      <c r="A27" s="8">
        <v>25</v>
      </c>
      <c r="B27" s="2" t="s">
        <v>97</v>
      </c>
      <c r="C27" s="2" t="s">
        <v>97</v>
      </c>
      <c r="D27" s="2">
        <v>29</v>
      </c>
      <c r="E27" s="2">
        <v>29</v>
      </c>
      <c r="F27" s="2">
        <v>0</v>
      </c>
      <c r="G27" s="2" t="s">
        <v>7</v>
      </c>
      <c r="H27" s="2" t="s">
        <v>53</v>
      </c>
      <c r="I27" s="2" t="s">
        <v>9</v>
      </c>
      <c r="J27" s="2" t="s">
        <v>98</v>
      </c>
      <c r="K27" s="6" t="s">
        <v>99</v>
      </c>
      <c r="L27" s="12"/>
    </row>
    <row r="28" spans="1:12" x14ac:dyDescent="0.3">
      <c r="A28" s="8">
        <v>26</v>
      </c>
      <c r="B28" s="2" t="s">
        <v>97</v>
      </c>
      <c r="C28" s="2" t="s">
        <v>100</v>
      </c>
      <c r="D28" s="2">
        <v>34</v>
      </c>
      <c r="E28" s="2">
        <v>34</v>
      </c>
      <c r="F28" s="2">
        <v>0</v>
      </c>
      <c r="G28" s="2" t="s">
        <v>7</v>
      </c>
      <c r="H28" s="2" t="s">
        <v>53</v>
      </c>
      <c r="I28" s="2" t="s">
        <v>9</v>
      </c>
      <c r="J28" s="2" t="s">
        <v>98</v>
      </c>
      <c r="K28" s="6" t="s">
        <v>99</v>
      </c>
      <c r="L28" s="12"/>
    </row>
    <row r="29" spans="1:12" x14ac:dyDescent="0.3">
      <c r="A29" s="8">
        <v>27</v>
      </c>
      <c r="B29" s="2" t="s">
        <v>101</v>
      </c>
      <c r="C29" s="2" t="s">
        <v>101</v>
      </c>
      <c r="D29" s="2">
        <v>692</v>
      </c>
      <c r="E29" s="2">
        <v>692</v>
      </c>
      <c r="F29" s="2">
        <v>0</v>
      </c>
      <c r="G29" s="2" t="s">
        <v>7</v>
      </c>
      <c r="H29" s="2" t="s">
        <v>74</v>
      </c>
      <c r="I29" s="2" t="s">
        <v>9</v>
      </c>
      <c r="J29" s="2" t="s">
        <v>102</v>
      </c>
      <c r="K29" s="6" t="s">
        <v>103</v>
      </c>
      <c r="L29" s="12"/>
    </row>
    <row r="30" spans="1:12" x14ac:dyDescent="0.3">
      <c r="A30" s="8">
        <v>28</v>
      </c>
      <c r="B30" s="2" t="s">
        <v>104</v>
      </c>
      <c r="C30" s="2" t="s">
        <v>104</v>
      </c>
      <c r="D30" s="2">
        <v>88</v>
      </c>
      <c r="E30" s="2">
        <v>88</v>
      </c>
      <c r="F30" s="2">
        <v>0</v>
      </c>
      <c r="G30" s="2" t="s">
        <v>7</v>
      </c>
      <c r="H30" s="2" t="s">
        <v>105</v>
      </c>
      <c r="I30" s="2" t="s">
        <v>9</v>
      </c>
      <c r="J30" s="2" t="s">
        <v>106</v>
      </c>
      <c r="K30" s="6" t="s">
        <v>107</v>
      </c>
      <c r="L30" s="12"/>
    </row>
    <row r="31" spans="1:12" x14ac:dyDescent="0.3">
      <c r="A31" s="8">
        <v>29</v>
      </c>
      <c r="B31" s="2" t="s">
        <v>104</v>
      </c>
      <c r="C31" s="2" t="s">
        <v>108</v>
      </c>
      <c r="D31" s="2">
        <v>18</v>
      </c>
      <c r="E31" s="2">
        <v>18</v>
      </c>
      <c r="F31" s="2">
        <v>0</v>
      </c>
      <c r="G31" s="2" t="s">
        <v>7</v>
      </c>
      <c r="H31" s="2" t="s">
        <v>105</v>
      </c>
      <c r="I31" s="2" t="s">
        <v>9</v>
      </c>
      <c r="J31" s="2" t="s">
        <v>106</v>
      </c>
      <c r="K31" s="6" t="s">
        <v>107</v>
      </c>
      <c r="L31" s="12"/>
    </row>
    <row r="32" spans="1:12" x14ac:dyDescent="0.3">
      <c r="A32" s="8">
        <v>30</v>
      </c>
      <c r="B32" s="2" t="s">
        <v>308</v>
      </c>
      <c r="C32" s="2" t="s">
        <v>109</v>
      </c>
      <c r="D32" s="2">
        <v>56</v>
      </c>
      <c r="E32" s="2">
        <v>56</v>
      </c>
      <c r="F32" s="2">
        <v>0</v>
      </c>
      <c r="G32" s="2" t="s">
        <v>7</v>
      </c>
      <c r="H32" s="2" t="s">
        <v>110</v>
      </c>
      <c r="I32" s="2" t="s">
        <v>9</v>
      </c>
      <c r="J32" s="2" t="s">
        <v>111</v>
      </c>
      <c r="K32" s="6" t="s">
        <v>112</v>
      </c>
      <c r="L32" s="12"/>
    </row>
    <row r="33" spans="1:12" x14ac:dyDescent="0.3">
      <c r="A33" s="8">
        <v>31</v>
      </c>
      <c r="B33" s="2" t="s">
        <v>495</v>
      </c>
      <c r="C33" s="2" t="s">
        <v>113</v>
      </c>
      <c r="D33" s="2">
        <v>309</v>
      </c>
      <c r="E33" s="2">
        <v>309</v>
      </c>
      <c r="F33" s="2">
        <v>0</v>
      </c>
      <c r="G33" s="2" t="s">
        <v>7</v>
      </c>
      <c r="H33" s="2" t="s">
        <v>53</v>
      </c>
      <c r="I33" s="2" t="s">
        <v>9</v>
      </c>
      <c r="J33" s="2" t="s">
        <v>114</v>
      </c>
      <c r="K33" s="6" t="s">
        <v>115</v>
      </c>
      <c r="L33" s="12"/>
    </row>
    <row r="34" spans="1:12" x14ac:dyDescent="0.3">
      <c r="A34" s="8">
        <v>32</v>
      </c>
      <c r="B34" s="2" t="s">
        <v>495</v>
      </c>
      <c r="C34" s="2" t="s">
        <v>116</v>
      </c>
      <c r="D34" s="2">
        <v>184</v>
      </c>
      <c r="E34" s="2">
        <v>184</v>
      </c>
      <c r="F34" s="2">
        <v>0</v>
      </c>
      <c r="G34" s="2" t="s">
        <v>7</v>
      </c>
      <c r="H34" s="2" t="s">
        <v>53</v>
      </c>
      <c r="I34" s="2" t="s">
        <v>17</v>
      </c>
      <c r="J34" s="2" t="s">
        <v>114</v>
      </c>
      <c r="K34" s="6" t="s">
        <v>115</v>
      </c>
      <c r="L34" s="12"/>
    </row>
    <row r="35" spans="1:12" x14ac:dyDescent="0.3">
      <c r="A35" s="8">
        <v>33</v>
      </c>
      <c r="B35" s="2" t="s">
        <v>117</v>
      </c>
      <c r="C35" s="2" t="s">
        <v>117</v>
      </c>
      <c r="D35" s="2">
        <v>38</v>
      </c>
      <c r="E35" s="2">
        <v>38</v>
      </c>
      <c r="F35" s="2">
        <v>0</v>
      </c>
      <c r="G35" s="2" t="s">
        <v>7</v>
      </c>
      <c r="H35" s="2" t="s">
        <v>118</v>
      </c>
      <c r="I35" s="2" t="s">
        <v>9</v>
      </c>
      <c r="J35" s="2" t="s">
        <v>119</v>
      </c>
      <c r="K35" s="6" t="s">
        <v>120</v>
      </c>
      <c r="L35" s="12"/>
    </row>
    <row r="36" spans="1:12" x14ac:dyDescent="0.3">
      <c r="A36" s="8">
        <v>34</v>
      </c>
      <c r="B36" s="2" t="s">
        <v>121</v>
      </c>
      <c r="C36" s="2" t="s">
        <v>121</v>
      </c>
      <c r="D36" s="2">
        <v>1214</v>
      </c>
      <c r="E36" s="2">
        <v>1214</v>
      </c>
      <c r="F36" s="2">
        <v>0</v>
      </c>
      <c r="G36" s="2" t="s">
        <v>7</v>
      </c>
      <c r="H36" s="2" t="s">
        <v>122</v>
      </c>
      <c r="I36" s="2" t="s">
        <v>9</v>
      </c>
      <c r="J36" s="2" t="s">
        <v>123</v>
      </c>
      <c r="K36" s="6" t="s">
        <v>124</v>
      </c>
      <c r="L36" s="12"/>
    </row>
    <row r="37" spans="1:12" x14ac:dyDescent="0.3">
      <c r="A37" s="8">
        <v>35</v>
      </c>
      <c r="B37" s="2" t="s">
        <v>125</v>
      </c>
      <c r="C37" s="2" t="s">
        <v>125</v>
      </c>
      <c r="D37" s="2">
        <v>99</v>
      </c>
      <c r="E37" s="2">
        <v>99</v>
      </c>
      <c r="F37" s="2">
        <v>0</v>
      </c>
      <c r="G37" s="2" t="s">
        <v>7</v>
      </c>
      <c r="H37" s="2" t="s">
        <v>126</v>
      </c>
      <c r="I37" s="2" t="s">
        <v>9</v>
      </c>
      <c r="J37" s="2" t="s">
        <v>127</v>
      </c>
      <c r="K37" s="6" t="s">
        <v>128</v>
      </c>
      <c r="L37" s="12"/>
    </row>
    <row r="38" spans="1:12" x14ac:dyDescent="0.3">
      <c r="A38" s="8">
        <v>36</v>
      </c>
      <c r="B38" s="2" t="s">
        <v>129</v>
      </c>
      <c r="C38" s="2" t="s">
        <v>129</v>
      </c>
      <c r="D38" s="2">
        <v>57</v>
      </c>
      <c r="E38" s="2">
        <v>57</v>
      </c>
      <c r="F38" s="2">
        <v>0</v>
      </c>
      <c r="G38" s="2" t="s">
        <v>7</v>
      </c>
      <c r="H38" s="2" t="s">
        <v>53</v>
      </c>
      <c r="I38" s="2" t="s">
        <v>9</v>
      </c>
      <c r="J38" s="2" t="s">
        <v>130</v>
      </c>
      <c r="K38" s="6" t="s">
        <v>131</v>
      </c>
      <c r="L38" s="12"/>
    </row>
    <row r="39" spans="1:12" x14ac:dyDescent="0.3">
      <c r="A39" s="8">
        <v>37</v>
      </c>
      <c r="B39" s="2" t="s">
        <v>132</v>
      </c>
      <c r="C39" s="2" t="s">
        <v>132</v>
      </c>
      <c r="D39" s="2">
        <v>231</v>
      </c>
      <c r="E39" s="2">
        <v>231</v>
      </c>
      <c r="F39" s="2">
        <v>0</v>
      </c>
      <c r="G39" s="2" t="s">
        <v>7</v>
      </c>
      <c r="H39" s="2" t="s">
        <v>53</v>
      </c>
      <c r="I39" s="2" t="s">
        <v>9</v>
      </c>
      <c r="J39" s="2" t="s">
        <v>133</v>
      </c>
      <c r="K39" s="6" t="s">
        <v>134</v>
      </c>
      <c r="L39" s="12"/>
    </row>
    <row r="40" spans="1:12" x14ac:dyDescent="0.3">
      <c r="A40" s="8">
        <v>38</v>
      </c>
      <c r="B40" s="2" t="s">
        <v>135</v>
      </c>
      <c r="C40" s="2" t="s">
        <v>135</v>
      </c>
      <c r="D40" s="2">
        <v>39</v>
      </c>
      <c r="E40" s="2">
        <v>39</v>
      </c>
      <c r="F40" s="2">
        <v>0</v>
      </c>
      <c r="G40" s="2" t="s">
        <v>7</v>
      </c>
      <c r="H40" s="2" t="s">
        <v>53</v>
      </c>
      <c r="I40" s="2" t="s">
        <v>9</v>
      </c>
      <c r="J40" s="2" t="s">
        <v>136</v>
      </c>
      <c r="K40" s="6" t="s">
        <v>137</v>
      </c>
      <c r="L40" s="12"/>
    </row>
    <row r="41" spans="1:12" x14ac:dyDescent="0.3">
      <c r="A41" s="8">
        <v>39</v>
      </c>
      <c r="B41" s="2" t="s">
        <v>135</v>
      </c>
      <c r="C41" s="2" t="s">
        <v>138</v>
      </c>
      <c r="D41" s="2">
        <v>80</v>
      </c>
      <c r="E41" s="2">
        <v>80</v>
      </c>
      <c r="F41" s="2">
        <v>0</v>
      </c>
      <c r="G41" s="2" t="s">
        <v>7</v>
      </c>
      <c r="H41" s="2" t="s">
        <v>53</v>
      </c>
      <c r="I41" s="2" t="s">
        <v>9</v>
      </c>
      <c r="J41" s="2" t="s">
        <v>136</v>
      </c>
      <c r="K41" s="6" t="s">
        <v>137</v>
      </c>
      <c r="L41" s="12"/>
    </row>
    <row r="42" spans="1:12" x14ac:dyDescent="0.3">
      <c r="A42" s="8">
        <v>40</v>
      </c>
      <c r="B42" s="2" t="s">
        <v>139</v>
      </c>
      <c r="C42" s="2" t="s">
        <v>139</v>
      </c>
      <c r="D42" s="2">
        <v>68</v>
      </c>
      <c r="E42" s="2">
        <v>68</v>
      </c>
      <c r="F42" s="2">
        <v>0</v>
      </c>
      <c r="G42" s="2" t="s">
        <v>7</v>
      </c>
      <c r="H42" s="2" t="s">
        <v>140</v>
      </c>
      <c r="I42" s="2" t="s">
        <v>9</v>
      </c>
      <c r="J42" s="2" t="s">
        <v>141</v>
      </c>
      <c r="K42" s="6" t="s">
        <v>142</v>
      </c>
      <c r="L42" s="12"/>
    </row>
    <row r="43" spans="1:12" x14ac:dyDescent="0.3">
      <c r="A43" s="8">
        <v>41</v>
      </c>
      <c r="B43" s="2" t="s">
        <v>496</v>
      </c>
      <c r="C43" s="2" t="s">
        <v>143</v>
      </c>
      <c r="D43" s="2">
        <v>10</v>
      </c>
      <c r="E43" s="2">
        <v>10</v>
      </c>
      <c r="F43" s="2">
        <v>0</v>
      </c>
      <c r="G43" s="2" t="s">
        <v>7</v>
      </c>
      <c r="H43" s="2" t="s">
        <v>53</v>
      </c>
      <c r="I43" s="2" t="s">
        <v>9</v>
      </c>
      <c r="J43" s="2" t="s">
        <v>144</v>
      </c>
      <c r="K43" s="6" t="s">
        <v>145</v>
      </c>
      <c r="L43" s="12"/>
    </row>
    <row r="44" spans="1:12" x14ac:dyDescent="0.3">
      <c r="A44" s="8">
        <v>42</v>
      </c>
      <c r="B44" s="2" t="s">
        <v>149</v>
      </c>
      <c r="C44" s="2" t="s">
        <v>149</v>
      </c>
      <c r="D44" s="2">
        <v>140</v>
      </c>
      <c r="E44" s="2">
        <v>140</v>
      </c>
      <c r="F44" s="2">
        <v>0</v>
      </c>
      <c r="G44" s="2" t="s">
        <v>7</v>
      </c>
      <c r="H44" s="2" t="s">
        <v>150</v>
      </c>
      <c r="I44" s="2" t="s">
        <v>9</v>
      </c>
      <c r="J44" s="5" t="s">
        <v>151</v>
      </c>
      <c r="K44" s="6" t="s">
        <v>152</v>
      </c>
      <c r="L44" s="12"/>
    </row>
    <row r="45" spans="1:12" x14ac:dyDescent="0.3">
      <c r="A45" s="8">
        <v>43</v>
      </c>
      <c r="B45" s="2" t="s">
        <v>153</v>
      </c>
      <c r="C45" s="2" t="s">
        <v>153</v>
      </c>
      <c r="D45" s="2">
        <v>37</v>
      </c>
      <c r="E45" s="2">
        <v>37</v>
      </c>
      <c r="F45" s="2">
        <v>0</v>
      </c>
      <c r="G45" s="2" t="s">
        <v>7</v>
      </c>
      <c r="H45" s="2" t="s">
        <v>110</v>
      </c>
      <c r="I45" s="2" t="s">
        <v>9</v>
      </c>
      <c r="J45" s="2" t="s">
        <v>154</v>
      </c>
      <c r="K45" s="6" t="s">
        <v>155</v>
      </c>
      <c r="L45" s="12"/>
    </row>
    <row r="46" spans="1:12" x14ac:dyDescent="0.3">
      <c r="A46" s="8">
        <v>44</v>
      </c>
      <c r="B46" s="2" t="s">
        <v>153</v>
      </c>
      <c r="C46" s="2" t="s">
        <v>156</v>
      </c>
      <c r="D46" s="2">
        <v>21</v>
      </c>
      <c r="E46" s="2">
        <v>21</v>
      </c>
      <c r="F46" s="2">
        <v>0</v>
      </c>
      <c r="G46" s="2" t="s">
        <v>7</v>
      </c>
      <c r="H46" s="2" t="s">
        <v>110</v>
      </c>
      <c r="I46" s="2" t="s">
        <v>9</v>
      </c>
      <c r="J46" s="2" t="s">
        <v>154</v>
      </c>
      <c r="K46" s="6" t="s">
        <v>155</v>
      </c>
      <c r="L46" s="12"/>
    </row>
    <row r="47" spans="1:12" x14ac:dyDescent="0.3">
      <c r="A47" s="8">
        <v>45</v>
      </c>
      <c r="B47" s="2" t="s">
        <v>157</v>
      </c>
      <c r="C47" s="2" t="s">
        <v>157</v>
      </c>
      <c r="D47" s="2">
        <v>150</v>
      </c>
      <c r="E47" s="2">
        <v>150</v>
      </c>
      <c r="F47" s="2">
        <v>0</v>
      </c>
      <c r="G47" s="2" t="s">
        <v>7</v>
      </c>
      <c r="H47" s="2" t="s">
        <v>53</v>
      </c>
      <c r="I47" s="2" t="s">
        <v>9</v>
      </c>
      <c r="J47" s="2" t="s">
        <v>158</v>
      </c>
      <c r="K47" s="6" t="s">
        <v>159</v>
      </c>
      <c r="L47" s="12"/>
    </row>
    <row r="48" spans="1:12" x14ac:dyDescent="0.3">
      <c r="A48" s="8">
        <v>46</v>
      </c>
      <c r="B48" s="2" t="s">
        <v>501</v>
      </c>
      <c r="C48" s="2" t="s">
        <v>160</v>
      </c>
      <c r="D48" s="2">
        <v>104</v>
      </c>
      <c r="E48" s="2">
        <v>104</v>
      </c>
      <c r="F48" s="2">
        <v>0</v>
      </c>
      <c r="G48" s="2" t="s">
        <v>7</v>
      </c>
      <c r="H48" s="2" t="s">
        <v>161</v>
      </c>
      <c r="I48" s="2" t="s">
        <v>17</v>
      </c>
      <c r="J48" s="2" t="s">
        <v>162</v>
      </c>
      <c r="K48" s="6" t="s">
        <v>163</v>
      </c>
      <c r="L48" s="12"/>
    </row>
    <row r="49" spans="1:12" x14ac:dyDescent="0.3">
      <c r="A49" s="8">
        <v>47</v>
      </c>
      <c r="B49" s="2" t="s">
        <v>164</v>
      </c>
      <c r="C49" s="2" t="s">
        <v>164</v>
      </c>
      <c r="D49" s="2">
        <v>1302</v>
      </c>
      <c r="E49" s="2">
        <v>1302</v>
      </c>
      <c r="F49" s="2">
        <v>0</v>
      </c>
      <c r="G49" s="2" t="s">
        <v>7</v>
      </c>
      <c r="H49" s="2" t="s">
        <v>49</v>
      </c>
      <c r="I49" s="2" t="s">
        <v>9</v>
      </c>
      <c r="J49" s="2" t="s">
        <v>165</v>
      </c>
      <c r="K49" s="6" t="s">
        <v>166</v>
      </c>
      <c r="L49" s="12"/>
    </row>
    <row r="50" spans="1:12" x14ac:dyDescent="0.3">
      <c r="A50" s="8">
        <v>48</v>
      </c>
      <c r="B50" s="2" t="s">
        <v>167</v>
      </c>
      <c r="C50" s="2" t="s">
        <v>167</v>
      </c>
      <c r="D50" s="2">
        <v>1059</v>
      </c>
      <c r="E50" s="2">
        <v>1059</v>
      </c>
      <c r="F50" s="2">
        <v>0</v>
      </c>
      <c r="G50" s="2" t="s">
        <v>7</v>
      </c>
      <c r="H50" s="2" t="s">
        <v>49</v>
      </c>
      <c r="I50" s="2" t="s">
        <v>9</v>
      </c>
      <c r="J50" s="2" t="s">
        <v>168</v>
      </c>
      <c r="K50" s="6" t="s">
        <v>169</v>
      </c>
      <c r="L50" s="12"/>
    </row>
    <row r="51" spans="1:12" x14ac:dyDescent="0.3">
      <c r="A51" s="8">
        <v>49</v>
      </c>
      <c r="B51" s="2" t="s">
        <v>311</v>
      </c>
      <c r="C51" s="2" t="s">
        <v>170</v>
      </c>
      <c r="D51" s="2">
        <v>11</v>
      </c>
      <c r="E51" s="2">
        <v>11</v>
      </c>
      <c r="F51" s="2">
        <v>0</v>
      </c>
      <c r="G51" s="2" t="s">
        <v>7</v>
      </c>
      <c r="H51" s="2" t="s">
        <v>84</v>
      </c>
      <c r="I51" s="2" t="s">
        <v>9</v>
      </c>
      <c r="J51" s="2" t="s">
        <v>171</v>
      </c>
      <c r="K51" s="6" t="s">
        <v>172</v>
      </c>
      <c r="L51" s="12"/>
    </row>
    <row r="52" spans="1:12" x14ac:dyDescent="0.3">
      <c r="A52" s="8">
        <v>50</v>
      </c>
      <c r="B52" s="2" t="s">
        <v>173</v>
      </c>
      <c r="C52" s="2" t="s">
        <v>173</v>
      </c>
      <c r="D52" s="2">
        <v>118</v>
      </c>
      <c r="E52" s="2">
        <v>118</v>
      </c>
      <c r="F52" s="2">
        <v>0</v>
      </c>
      <c r="G52" s="2" t="s">
        <v>7</v>
      </c>
      <c r="H52" s="2" t="s">
        <v>53</v>
      </c>
      <c r="I52" s="2" t="s">
        <v>9</v>
      </c>
      <c r="J52" s="2" t="s">
        <v>174</v>
      </c>
      <c r="K52" s="6" t="s">
        <v>175</v>
      </c>
      <c r="L52" s="12"/>
    </row>
    <row r="53" spans="1:12" x14ac:dyDescent="0.3">
      <c r="A53" s="8">
        <v>51</v>
      </c>
      <c r="B53" s="2" t="s">
        <v>176</v>
      </c>
      <c r="C53" s="2" t="s">
        <v>176</v>
      </c>
      <c r="D53" s="2">
        <v>42</v>
      </c>
      <c r="E53" s="2">
        <v>42</v>
      </c>
      <c r="F53" s="2">
        <v>0</v>
      </c>
      <c r="G53" s="2" t="s">
        <v>7</v>
      </c>
      <c r="H53" s="2" t="s">
        <v>177</v>
      </c>
      <c r="I53" s="2" t="s">
        <v>9</v>
      </c>
      <c r="J53" s="2" t="s">
        <v>178</v>
      </c>
      <c r="K53" s="6" t="s">
        <v>179</v>
      </c>
      <c r="L53" s="12"/>
    </row>
    <row r="54" spans="1:12" x14ac:dyDescent="0.3">
      <c r="A54" s="8">
        <v>52</v>
      </c>
      <c r="B54" s="2" t="s">
        <v>176</v>
      </c>
      <c r="C54" s="2" t="s">
        <v>180</v>
      </c>
      <c r="D54" s="2">
        <v>28</v>
      </c>
      <c r="E54" s="2">
        <v>28</v>
      </c>
      <c r="F54" s="2">
        <v>0</v>
      </c>
      <c r="G54" s="2" t="s">
        <v>7</v>
      </c>
      <c r="H54" s="2" t="s">
        <v>177</v>
      </c>
      <c r="I54" s="2" t="s">
        <v>9</v>
      </c>
      <c r="J54" s="2" t="s">
        <v>178</v>
      </c>
      <c r="K54" s="6" t="s">
        <v>179</v>
      </c>
      <c r="L54" s="12"/>
    </row>
    <row r="55" spans="1:12" x14ac:dyDescent="0.3">
      <c r="A55" s="8">
        <v>53</v>
      </c>
      <c r="B55" s="2" t="s">
        <v>181</v>
      </c>
      <c r="C55" s="2" t="s">
        <v>181</v>
      </c>
      <c r="D55" s="2">
        <v>35</v>
      </c>
      <c r="E55" s="2">
        <v>35</v>
      </c>
      <c r="F55" s="2">
        <v>0</v>
      </c>
      <c r="G55" s="2" t="s">
        <v>7</v>
      </c>
      <c r="H55" s="2" t="s">
        <v>53</v>
      </c>
      <c r="I55" s="2" t="s">
        <v>9</v>
      </c>
      <c r="J55" s="2" t="s">
        <v>182</v>
      </c>
      <c r="K55" s="6" t="s">
        <v>183</v>
      </c>
      <c r="L55" s="12"/>
    </row>
    <row r="56" spans="1:12" x14ac:dyDescent="0.3">
      <c r="A56" s="8">
        <v>54</v>
      </c>
      <c r="B56" s="2" t="s">
        <v>181</v>
      </c>
      <c r="C56" s="2" t="s">
        <v>184</v>
      </c>
      <c r="D56" s="2">
        <v>40</v>
      </c>
      <c r="E56" s="2">
        <v>40</v>
      </c>
      <c r="F56" s="2">
        <v>0</v>
      </c>
      <c r="G56" s="2" t="s">
        <v>7</v>
      </c>
      <c r="H56" s="2" t="s">
        <v>53</v>
      </c>
      <c r="I56" s="2" t="s">
        <v>9</v>
      </c>
      <c r="J56" s="2" t="s">
        <v>182</v>
      </c>
      <c r="K56" s="6" t="s">
        <v>183</v>
      </c>
      <c r="L56" s="12"/>
    </row>
    <row r="57" spans="1:12" x14ac:dyDescent="0.3">
      <c r="A57" s="8">
        <v>55</v>
      </c>
      <c r="B57" s="2" t="s">
        <v>185</v>
      </c>
      <c r="C57" s="2" t="s">
        <v>185</v>
      </c>
      <c r="D57" s="2">
        <v>267</v>
      </c>
      <c r="E57" s="2">
        <v>267</v>
      </c>
      <c r="F57" s="2">
        <v>0</v>
      </c>
      <c r="G57" s="2" t="s">
        <v>7</v>
      </c>
      <c r="H57" s="2" t="s">
        <v>186</v>
      </c>
      <c r="I57" s="2" t="s">
        <v>9</v>
      </c>
      <c r="J57" s="2" t="s">
        <v>187</v>
      </c>
      <c r="K57" s="6" t="s">
        <v>188</v>
      </c>
      <c r="L57" s="12"/>
    </row>
    <row r="58" spans="1:12" x14ac:dyDescent="0.3">
      <c r="A58" s="8">
        <v>56</v>
      </c>
      <c r="B58" s="2" t="s">
        <v>497</v>
      </c>
      <c r="C58" s="2" t="s">
        <v>189</v>
      </c>
      <c r="D58" s="2">
        <v>60</v>
      </c>
      <c r="E58" s="2">
        <v>60</v>
      </c>
      <c r="F58" s="2">
        <v>0</v>
      </c>
      <c r="G58" s="2" t="s">
        <v>7</v>
      </c>
      <c r="H58" s="2" t="s">
        <v>36</v>
      </c>
      <c r="I58" s="2" t="s">
        <v>9</v>
      </c>
      <c r="J58" s="2" t="s">
        <v>190</v>
      </c>
      <c r="K58" s="6" t="s">
        <v>191</v>
      </c>
      <c r="L58" s="12"/>
    </row>
    <row r="59" spans="1:12" x14ac:dyDescent="0.3">
      <c r="A59" s="8">
        <v>57</v>
      </c>
      <c r="B59" s="2" t="s">
        <v>497</v>
      </c>
      <c r="C59" s="2" t="s">
        <v>192</v>
      </c>
      <c r="D59" s="2">
        <v>120</v>
      </c>
      <c r="E59" s="2">
        <v>120</v>
      </c>
      <c r="F59" s="2">
        <v>0</v>
      </c>
      <c r="G59" s="2" t="s">
        <v>7</v>
      </c>
      <c r="H59" s="2" t="s">
        <v>36</v>
      </c>
      <c r="I59" s="2" t="s">
        <v>9</v>
      </c>
      <c r="J59" s="2" t="s">
        <v>193</v>
      </c>
      <c r="K59" s="6" t="s">
        <v>194</v>
      </c>
      <c r="L59" s="12"/>
    </row>
    <row r="60" spans="1:12" x14ac:dyDescent="0.3">
      <c r="A60" s="8">
        <v>58</v>
      </c>
      <c r="B60" s="2" t="s">
        <v>500</v>
      </c>
      <c r="C60" s="2" t="s">
        <v>195</v>
      </c>
      <c r="D60" s="2">
        <v>671</v>
      </c>
      <c r="E60" s="2">
        <v>671</v>
      </c>
      <c r="F60" s="2">
        <v>0</v>
      </c>
      <c r="G60" s="2" t="s">
        <v>7</v>
      </c>
      <c r="H60" s="2" t="s">
        <v>36</v>
      </c>
      <c r="I60" s="2" t="s">
        <v>17</v>
      </c>
      <c r="J60" s="2" t="s">
        <v>196</v>
      </c>
      <c r="K60" s="6" t="s">
        <v>197</v>
      </c>
      <c r="L60" s="12"/>
    </row>
    <row r="61" spans="1:12" x14ac:dyDescent="0.3">
      <c r="A61" s="8">
        <v>59</v>
      </c>
      <c r="B61" s="2" t="s">
        <v>20</v>
      </c>
      <c r="C61" s="2" t="s">
        <v>20</v>
      </c>
      <c r="D61" s="2">
        <v>70</v>
      </c>
      <c r="E61" s="2">
        <v>70</v>
      </c>
      <c r="F61" s="2">
        <v>0</v>
      </c>
      <c r="G61" s="2" t="s">
        <v>7</v>
      </c>
      <c r="H61" s="2" t="s">
        <v>21</v>
      </c>
      <c r="I61" s="2" t="s">
        <v>9</v>
      </c>
      <c r="J61" s="2" t="s">
        <v>22</v>
      </c>
      <c r="K61" s="6" t="s">
        <v>23</v>
      </c>
      <c r="L61" s="12"/>
    </row>
    <row r="62" spans="1:12" x14ac:dyDescent="0.3">
      <c r="A62" s="8">
        <v>60</v>
      </c>
      <c r="B62" s="2" t="s">
        <v>48</v>
      </c>
      <c r="C62" s="2" t="s">
        <v>48</v>
      </c>
      <c r="D62" s="2">
        <v>99</v>
      </c>
      <c r="E62" s="2">
        <v>99</v>
      </c>
      <c r="F62" s="2">
        <v>0</v>
      </c>
      <c r="G62" s="2" t="s">
        <v>7</v>
      </c>
      <c r="H62" s="2" t="s">
        <v>49</v>
      </c>
      <c r="I62" s="2" t="s">
        <v>9</v>
      </c>
      <c r="J62" s="2" t="s">
        <v>50</v>
      </c>
      <c r="K62" s="6" t="s">
        <v>51</v>
      </c>
      <c r="L62" s="12"/>
    </row>
    <row r="63" spans="1:12" x14ac:dyDescent="0.3">
      <c r="A63" s="8">
        <v>61</v>
      </c>
      <c r="B63" s="2" t="s">
        <v>87</v>
      </c>
      <c r="C63" s="2" t="s">
        <v>87</v>
      </c>
      <c r="D63" s="2">
        <v>135</v>
      </c>
      <c r="E63" s="2">
        <v>135</v>
      </c>
      <c r="F63" s="2">
        <v>0</v>
      </c>
      <c r="G63" s="2" t="s">
        <v>7</v>
      </c>
      <c r="H63" s="2" t="s">
        <v>25</v>
      </c>
      <c r="I63" s="2" t="s">
        <v>9</v>
      </c>
      <c r="J63" s="2" t="s">
        <v>88</v>
      </c>
      <c r="K63" s="6" t="s">
        <v>89</v>
      </c>
      <c r="L63" s="12"/>
    </row>
    <row r="64" spans="1:12" x14ac:dyDescent="0.3">
      <c r="A64" s="8">
        <v>62</v>
      </c>
      <c r="B64" s="2" t="s">
        <v>202</v>
      </c>
      <c r="C64" s="2" t="s">
        <v>202</v>
      </c>
      <c r="D64" s="2">
        <v>299</v>
      </c>
      <c r="E64" s="2">
        <v>299</v>
      </c>
      <c r="F64" s="2">
        <v>0</v>
      </c>
      <c r="G64" s="2" t="s">
        <v>7</v>
      </c>
      <c r="H64" s="2" t="s">
        <v>36</v>
      </c>
      <c r="I64" s="2" t="s">
        <v>9</v>
      </c>
      <c r="J64" s="2" t="s">
        <v>203</v>
      </c>
      <c r="K64" s="6" t="s">
        <v>204</v>
      </c>
      <c r="L64" s="12"/>
    </row>
    <row r="65" spans="1:12" x14ac:dyDescent="0.3">
      <c r="A65" s="8">
        <v>63</v>
      </c>
      <c r="B65" s="2" t="s">
        <v>146</v>
      </c>
      <c r="C65" s="2" t="s">
        <v>146</v>
      </c>
      <c r="D65" s="2">
        <v>108</v>
      </c>
      <c r="E65" s="2">
        <v>108</v>
      </c>
      <c r="F65" s="2">
        <v>0</v>
      </c>
      <c r="G65" s="2" t="s">
        <v>7</v>
      </c>
      <c r="H65" s="2" t="s">
        <v>118</v>
      </c>
      <c r="I65" s="2" t="s">
        <v>17</v>
      </c>
      <c r="J65" s="2" t="s">
        <v>147</v>
      </c>
      <c r="K65" s="6" t="s">
        <v>148</v>
      </c>
      <c r="L65" s="12"/>
    </row>
    <row r="66" spans="1:12" x14ac:dyDescent="0.3">
      <c r="A66" s="8">
        <v>64</v>
      </c>
      <c r="B66" s="2" t="s">
        <v>198</v>
      </c>
      <c r="C66" s="2" t="s">
        <v>198</v>
      </c>
      <c r="D66" s="2">
        <v>465</v>
      </c>
      <c r="E66" s="2">
        <v>347</v>
      </c>
      <c r="F66" s="2">
        <v>118</v>
      </c>
      <c r="G66" s="2" t="s">
        <v>7</v>
      </c>
      <c r="H66" s="2" t="s">
        <v>199</v>
      </c>
      <c r="I66" s="2" t="s">
        <v>17</v>
      </c>
      <c r="J66" s="2" t="s">
        <v>200</v>
      </c>
      <c r="K66" s="6" t="s">
        <v>201</v>
      </c>
      <c r="L66" s="12"/>
    </row>
    <row r="67" spans="1:12" x14ac:dyDescent="0.3">
      <c r="A67" s="8">
        <v>65</v>
      </c>
      <c r="B67" s="2" t="s">
        <v>205</v>
      </c>
      <c r="C67" s="2" t="s">
        <v>205</v>
      </c>
      <c r="D67" s="2">
        <v>27</v>
      </c>
      <c r="E67" s="2">
        <v>12</v>
      </c>
      <c r="F67" s="2">
        <v>15</v>
      </c>
      <c r="G67" s="2" t="s">
        <v>7</v>
      </c>
      <c r="H67" s="2" t="s">
        <v>161</v>
      </c>
      <c r="I67" s="2" t="s">
        <v>9</v>
      </c>
      <c r="J67" s="2" t="s">
        <v>206</v>
      </c>
      <c r="K67" s="6" t="s">
        <v>207</v>
      </c>
      <c r="L67" s="12"/>
    </row>
    <row r="68" spans="1:12" x14ac:dyDescent="0.3">
      <c r="A68" s="8">
        <v>66</v>
      </c>
      <c r="B68" s="2" t="s">
        <v>213</v>
      </c>
      <c r="C68" s="2" t="s">
        <v>213</v>
      </c>
      <c r="D68" s="2">
        <v>59</v>
      </c>
      <c r="E68" s="2">
        <v>20</v>
      </c>
      <c r="F68" s="2">
        <v>39</v>
      </c>
      <c r="G68" s="2" t="s">
        <v>7</v>
      </c>
      <c r="H68" s="2" t="s">
        <v>199</v>
      </c>
      <c r="I68" s="2" t="s">
        <v>17</v>
      </c>
      <c r="J68" s="2" t="s">
        <v>214</v>
      </c>
      <c r="K68" s="6" t="s">
        <v>215</v>
      </c>
      <c r="L68" s="12"/>
    </row>
    <row r="69" spans="1:12" x14ac:dyDescent="0.3">
      <c r="A69" s="8">
        <v>67</v>
      </c>
      <c r="B69" s="2" t="s">
        <v>216</v>
      </c>
      <c r="C69" s="2" t="s">
        <v>216</v>
      </c>
      <c r="D69" s="2">
        <v>44</v>
      </c>
      <c r="E69" s="2">
        <v>22</v>
      </c>
      <c r="F69" s="2">
        <v>22</v>
      </c>
      <c r="G69" s="2" t="s">
        <v>7</v>
      </c>
      <c r="H69" s="2" t="s">
        <v>199</v>
      </c>
      <c r="I69" s="2" t="s">
        <v>17</v>
      </c>
      <c r="J69" s="2" t="s">
        <v>217</v>
      </c>
      <c r="K69" s="6" t="s">
        <v>218</v>
      </c>
      <c r="L69" s="12"/>
    </row>
    <row r="70" spans="1:12" x14ac:dyDescent="0.3">
      <c r="A70" s="8">
        <v>68</v>
      </c>
      <c r="B70" s="2" t="s">
        <v>219</v>
      </c>
      <c r="C70" s="2" t="s">
        <v>219</v>
      </c>
      <c r="D70" s="2">
        <v>876</v>
      </c>
      <c r="E70" s="2">
        <v>436</v>
      </c>
      <c r="F70" s="2">
        <v>440</v>
      </c>
      <c r="G70" s="2" t="s">
        <v>7</v>
      </c>
      <c r="H70" s="2" t="s">
        <v>36</v>
      </c>
      <c r="I70" s="2" t="s">
        <v>9</v>
      </c>
      <c r="J70" s="2" t="s">
        <v>220</v>
      </c>
      <c r="K70" s="6" t="s">
        <v>221</v>
      </c>
      <c r="L70" s="12"/>
    </row>
    <row r="71" spans="1:12" x14ac:dyDescent="0.3">
      <c r="A71" s="8">
        <v>69</v>
      </c>
      <c r="B71" s="2" t="s">
        <v>222</v>
      </c>
      <c r="C71" s="2" t="s">
        <v>222</v>
      </c>
      <c r="D71" s="2">
        <v>555</v>
      </c>
      <c r="E71" s="2">
        <v>187</v>
      </c>
      <c r="F71" s="2">
        <v>368</v>
      </c>
      <c r="G71" s="2" t="s">
        <v>7</v>
      </c>
      <c r="H71" s="2" t="s">
        <v>53</v>
      </c>
      <c r="I71" s="2" t="s">
        <v>9</v>
      </c>
      <c r="J71" s="5" t="s">
        <v>57</v>
      </c>
      <c r="K71" s="6" t="s">
        <v>58</v>
      </c>
      <c r="L71" s="12"/>
    </row>
    <row r="72" spans="1:12" x14ac:dyDescent="0.3">
      <c r="A72" s="8">
        <v>70</v>
      </c>
      <c r="B72" s="2" t="s">
        <v>223</v>
      </c>
      <c r="C72" s="2" t="s">
        <v>223</v>
      </c>
      <c r="D72" s="2">
        <v>102</v>
      </c>
      <c r="E72" s="2">
        <v>47</v>
      </c>
      <c r="F72" s="2">
        <v>55</v>
      </c>
      <c r="G72" s="2" t="s">
        <v>7</v>
      </c>
      <c r="H72" s="2" t="s">
        <v>8</v>
      </c>
      <c r="I72" s="2" t="s">
        <v>9</v>
      </c>
      <c r="J72" s="2" t="s">
        <v>224</v>
      </c>
      <c r="K72" s="6" t="s">
        <v>225</v>
      </c>
      <c r="L72" s="12"/>
    </row>
    <row r="73" spans="1:12" x14ac:dyDescent="0.3">
      <c r="A73" s="8">
        <v>71</v>
      </c>
      <c r="B73" s="2" t="s">
        <v>226</v>
      </c>
      <c r="C73" s="2" t="s">
        <v>226</v>
      </c>
      <c r="D73" s="2">
        <v>40</v>
      </c>
      <c r="E73" s="2">
        <v>20</v>
      </c>
      <c r="F73" s="2">
        <v>20</v>
      </c>
      <c r="G73" s="2" t="s">
        <v>7</v>
      </c>
      <c r="H73" s="2" t="s">
        <v>36</v>
      </c>
      <c r="I73" s="2" t="s">
        <v>9</v>
      </c>
      <c r="J73" s="2" t="s">
        <v>227</v>
      </c>
      <c r="K73" s="6" t="s">
        <v>228</v>
      </c>
      <c r="L73" s="12"/>
    </row>
    <row r="74" spans="1:12" x14ac:dyDescent="0.3">
      <c r="A74" s="8">
        <v>72</v>
      </c>
      <c r="B74" s="2" t="s">
        <v>229</v>
      </c>
      <c r="C74" s="2" t="s">
        <v>229</v>
      </c>
      <c r="D74" s="2">
        <v>90</v>
      </c>
      <c r="E74" s="2">
        <v>43</v>
      </c>
      <c r="F74" s="2">
        <v>47</v>
      </c>
      <c r="G74" s="2" t="s">
        <v>7</v>
      </c>
      <c r="H74" s="2" t="s">
        <v>36</v>
      </c>
      <c r="I74" s="2" t="s">
        <v>9</v>
      </c>
      <c r="J74" s="2" t="s">
        <v>230</v>
      </c>
      <c r="K74" s="6" t="s">
        <v>231</v>
      </c>
      <c r="L74" s="12"/>
    </row>
    <row r="75" spans="1:12" x14ac:dyDescent="0.3">
      <c r="A75" s="8">
        <v>73</v>
      </c>
      <c r="B75" s="2" t="s">
        <v>232</v>
      </c>
      <c r="C75" s="2" t="s">
        <v>232</v>
      </c>
      <c r="D75" s="2">
        <v>247</v>
      </c>
      <c r="E75" s="2">
        <v>127</v>
      </c>
      <c r="F75" s="2">
        <v>120</v>
      </c>
      <c r="G75" s="2" t="s">
        <v>7</v>
      </c>
      <c r="H75" s="2" t="s">
        <v>36</v>
      </c>
      <c r="I75" s="2" t="s">
        <v>9</v>
      </c>
      <c r="J75" s="2" t="s">
        <v>233</v>
      </c>
      <c r="K75" s="6" t="s">
        <v>234</v>
      </c>
      <c r="L75" s="12"/>
    </row>
    <row r="76" spans="1:12" x14ac:dyDescent="0.3">
      <c r="A76" s="8">
        <v>74</v>
      </c>
      <c r="B76" s="2" t="s">
        <v>235</v>
      </c>
      <c r="C76" s="2" t="s">
        <v>235</v>
      </c>
      <c r="D76" s="2">
        <v>102</v>
      </c>
      <c r="E76" s="2">
        <v>33</v>
      </c>
      <c r="F76" s="2">
        <v>69</v>
      </c>
      <c r="G76" s="2" t="s">
        <v>7</v>
      </c>
      <c r="H76" s="2" t="s">
        <v>74</v>
      </c>
      <c r="I76" s="2" t="s">
        <v>9</v>
      </c>
      <c r="J76" s="2" t="s">
        <v>236</v>
      </c>
      <c r="K76" s="6" t="s">
        <v>237</v>
      </c>
      <c r="L76" s="12"/>
    </row>
    <row r="77" spans="1:12" x14ac:dyDescent="0.3">
      <c r="A77" s="8">
        <v>75</v>
      </c>
      <c r="B77" s="2" t="s">
        <v>238</v>
      </c>
      <c r="C77" s="2" t="s">
        <v>238</v>
      </c>
      <c r="D77" s="2">
        <v>71</v>
      </c>
      <c r="E77" s="2">
        <v>14</v>
      </c>
      <c r="F77" s="2">
        <v>57</v>
      </c>
      <c r="G77" s="2" t="s">
        <v>7</v>
      </c>
      <c r="H77" s="2" t="s">
        <v>36</v>
      </c>
      <c r="I77" s="2" t="s">
        <v>9</v>
      </c>
      <c r="J77" s="2" t="s">
        <v>239</v>
      </c>
      <c r="K77" s="6" t="s">
        <v>240</v>
      </c>
      <c r="L77" s="12"/>
    </row>
    <row r="78" spans="1:12" x14ac:dyDescent="0.3">
      <c r="A78" s="8">
        <v>76</v>
      </c>
      <c r="B78" s="2" t="s">
        <v>241</v>
      </c>
      <c r="C78" s="2" t="s">
        <v>241</v>
      </c>
      <c r="D78" s="2">
        <v>44</v>
      </c>
      <c r="E78" s="2">
        <v>20</v>
      </c>
      <c r="F78" s="2">
        <v>24</v>
      </c>
      <c r="G78" s="2" t="s">
        <v>7</v>
      </c>
      <c r="H78" s="2" t="s">
        <v>84</v>
      </c>
      <c r="I78" s="2" t="s">
        <v>9</v>
      </c>
      <c r="J78" s="2" t="s">
        <v>242</v>
      </c>
      <c r="K78" s="6" t="s">
        <v>243</v>
      </c>
      <c r="L78" s="12"/>
    </row>
    <row r="79" spans="1:12" x14ac:dyDescent="0.3">
      <c r="A79" s="8">
        <v>77</v>
      </c>
      <c r="B79" s="2" t="s">
        <v>244</v>
      </c>
      <c r="C79" s="2" t="s">
        <v>244</v>
      </c>
      <c r="D79" s="2">
        <v>30</v>
      </c>
      <c r="E79" s="2">
        <v>15</v>
      </c>
      <c r="F79" s="2">
        <v>15</v>
      </c>
      <c r="G79" s="2" t="s">
        <v>7</v>
      </c>
      <c r="H79" s="2" t="s">
        <v>36</v>
      </c>
      <c r="I79" s="2" t="s">
        <v>9</v>
      </c>
      <c r="J79" s="2" t="s">
        <v>245</v>
      </c>
      <c r="K79" s="6" t="s">
        <v>246</v>
      </c>
      <c r="L79" s="12"/>
    </row>
    <row r="80" spans="1:12" x14ac:dyDescent="0.3">
      <c r="A80" s="8">
        <v>78</v>
      </c>
      <c r="B80" s="2" t="s">
        <v>247</v>
      </c>
      <c r="C80" s="2" t="s">
        <v>247</v>
      </c>
      <c r="D80" s="2">
        <v>93</v>
      </c>
      <c r="E80" s="2">
        <v>46</v>
      </c>
      <c r="F80" s="2">
        <v>47</v>
      </c>
      <c r="G80" s="2" t="s">
        <v>7</v>
      </c>
      <c r="H80" s="2" t="s">
        <v>248</v>
      </c>
      <c r="I80" s="2" t="s">
        <v>9</v>
      </c>
      <c r="J80" s="2" t="s">
        <v>249</v>
      </c>
      <c r="K80" s="6" t="s">
        <v>250</v>
      </c>
      <c r="L80" s="12"/>
    </row>
    <row r="81" spans="1:12" x14ac:dyDescent="0.3">
      <c r="A81" s="8">
        <v>79</v>
      </c>
      <c r="B81" s="2" t="s">
        <v>251</v>
      </c>
      <c r="C81" s="2" t="s">
        <v>251</v>
      </c>
      <c r="D81" s="2">
        <v>60</v>
      </c>
      <c r="E81" s="2">
        <v>16</v>
      </c>
      <c r="F81" s="2">
        <v>44</v>
      </c>
      <c r="G81" s="2" t="s">
        <v>7</v>
      </c>
      <c r="H81" s="2" t="s">
        <v>252</v>
      </c>
      <c r="I81" s="2" t="s">
        <v>9</v>
      </c>
      <c r="J81" s="2" t="s">
        <v>253</v>
      </c>
      <c r="K81" s="6" t="s">
        <v>254</v>
      </c>
      <c r="L81" s="12"/>
    </row>
    <row r="82" spans="1:12" x14ac:dyDescent="0.3">
      <c r="A82" s="8">
        <v>80</v>
      </c>
      <c r="B82" s="2" t="s">
        <v>255</v>
      </c>
      <c r="C82" s="2" t="s">
        <v>255</v>
      </c>
      <c r="D82" s="2">
        <v>281</v>
      </c>
      <c r="E82" s="2">
        <v>234</v>
      </c>
      <c r="F82" s="2">
        <v>47</v>
      </c>
      <c r="G82" s="2" t="s">
        <v>7</v>
      </c>
      <c r="H82" s="2" t="s">
        <v>118</v>
      </c>
      <c r="I82" s="2" t="s">
        <v>17</v>
      </c>
      <c r="J82" s="2" t="s">
        <v>256</v>
      </c>
      <c r="K82" s="6" t="s">
        <v>257</v>
      </c>
      <c r="L82" s="12"/>
    </row>
    <row r="83" spans="1:12" x14ac:dyDescent="0.3">
      <c r="A83" s="8">
        <v>81</v>
      </c>
      <c r="B83" s="2" t="s">
        <v>258</v>
      </c>
      <c r="C83" s="2" t="s">
        <v>258</v>
      </c>
      <c r="D83" s="2">
        <v>37</v>
      </c>
      <c r="E83" s="2">
        <v>15</v>
      </c>
      <c r="F83" s="2">
        <v>22</v>
      </c>
      <c r="G83" s="2" t="s">
        <v>7</v>
      </c>
      <c r="H83" s="2" t="s">
        <v>259</v>
      </c>
      <c r="I83" s="2" t="s">
        <v>9</v>
      </c>
      <c r="J83" s="2" t="s">
        <v>260</v>
      </c>
      <c r="K83" s="6" t="s">
        <v>261</v>
      </c>
      <c r="L83" s="12"/>
    </row>
    <row r="84" spans="1:12" x14ac:dyDescent="0.3">
      <c r="A84" s="8">
        <v>82</v>
      </c>
      <c r="B84" s="2" t="s">
        <v>262</v>
      </c>
      <c r="C84" s="2" t="s">
        <v>262</v>
      </c>
      <c r="D84" s="2">
        <v>74</v>
      </c>
      <c r="E84" s="2">
        <v>27</v>
      </c>
      <c r="F84" s="2">
        <v>47</v>
      </c>
      <c r="G84" s="2" t="s">
        <v>7</v>
      </c>
      <c r="H84" s="2" t="s">
        <v>263</v>
      </c>
      <c r="I84" s="2" t="s">
        <v>9</v>
      </c>
      <c r="J84" s="2" t="s">
        <v>264</v>
      </c>
      <c r="K84" s="6" t="s">
        <v>265</v>
      </c>
      <c r="L84" s="12"/>
    </row>
    <row r="85" spans="1:12" x14ac:dyDescent="0.3">
      <c r="A85" s="8">
        <v>83</v>
      </c>
      <c r="B85" s="2" t="s">
        <v>266</v>
      </c>
      <c r="C85" s="2" t="s">
        <v>266</v>
      </c>
      <c r="D85" s="2">
        <v>20</v>
      </c>
      <c r="E85" s="2">
        <v>10</v>
      </c>
      <c r="F85" s="2">
        <v>10</v>
      </c>
      <c r="G85" s="2" t="s">
        <v>7</v>
      </c>
      <c r="H85" s="2" t="s">
        <v>25</v>
      </c>
      <c r="I85" s="2" t="s">
        <v>9</v>
      </c>
      <c r="J85" s="2" t="s">
        <v>267</v>
      </c>
      <c r="K85" s="6" t="s">
        <v>268</v>
      </c>
      <c r="L85" s="12"/>
    </row>
    <row r="86" spans="1:12" x14ac:dyDescent="0.3">
      <c r="A86" s="8">
        <v>84</v>
      </c>
      <c r="B86" s="2" t="s">
        <v>269</v>
      </c>
      <c r="C86" s="2" t="s">
        <v>269</v>
      </c>
      <c r="D86" s="2">
        <v>140</v>
      </c>
      <c r="E86" s="2">
        <v>81</v>
      </c>
      <c r="F86" s="2">
        <v>59</v>
      </c>
      <c r="G86" s="2" t="s">
        <v>7</v>
      </c>
      <c r="H86" s="2" t="s">
        <v>118</v>
      </c>
      <c r="I86" s="2" t="s">
        <v>9</v>
      </c>
      <c r="J86" s="2" t="s">
        <v>270</v>
      </c>
      <c r="K86" s="6" t="s">
        <v>271</v>
      </c>
      <c r="L86" s="12"/>
    </row>
    <row r="87" spans="1:12" x14ac:dyDescent="0.3">
      <c r="A87" s="8">
        <v>85</v>
      </c>
      <c r="B87" s="2" t="s">
        <v>272</v>
      </c>
      <c r="C87" s="2" t="s">
        <v>272</v>
      </c>
      <c r="D87" s="2">
        <v>62</v>
      </c>
      <c r="E87" s="2">
        <v>20</v>
      </c>
      <c r="F87" s="2">
        <v>42</v>
      </c>
      <c r="G87" s="2" t="s">
        <v>7</v>
      </c>
      <c r="H87" s="2" t="s">
        <v>53</v>
      </c>
      <c r="I87" s="2" t="s">
        <v>9</v>
      </c>
      <c r="J87" s="2" t="s">
        <v>273</v>
      </c>
      <c r="K87" s="6" t="s">
        <v>274</v>
      </c>
      <c r="L87" s="12"/>
    </row>
    <row r="88" spans="1:12" x14ac:dyDescent="0.3">
      <c r="A88" s="8">
        <v>86</v>
      </c>
      <c r="B88" s="2" t="s">
        <v>275</v>
      </c>
      <c r="C88" s="2" t="s">
        <v>275</v>
      </c>
      <c r="D88" s="2">
        <v>80</v>
      </c>
      <c r="E88" s="2">
        <v>52</v>
      </c>
      <c r="F88" s="2">
        <v>28</v>
      </c>
      <c r="G88" s="2" t="s">
        <v>7</v>
      </c>
      <c r="H88" s="2" t="s">
        <v>36</v>
      </c>
      <c r="I88" s="2" t="s">
        <v>9</v>
      </c>
      <c r="J88" s="2" t="s">
        <v>276</v>
      </c>
      <c r="K88" s="6" t="s">
        <v>277</v>
      </c>
      <c r="L88" s="12"/>
    </row>
    <row r="89" spans="1:12" x14ac:dyDescent="0.3">
      <c r="A89" s="8">
        <v>87</v>
      </c>
      <c r="B89" s="2" t="s">
        <v>278</v>
      </c>
      <c r="C89" s="2" t="s">
        <v>278</v>
      </c>
      <c r="D89" s="2">
        <v>61</v>
      </c>
      <c r="E89" s="2">
        <v>30</v>
      </c>
      <c r="F89" s="2">
        <v>31</v>
      </c>
      <c r="G89" s="2" t="s">
        <v>7</v>
      </c>
      <c r="H89" s="2" t="s">
        <v>36</v>
      </c>
      <c r="I89" s="2" t="s">
        <v>9</v>
      </c>
      <c r="J89" s="2" t="s">
        <v>279</v>
      </c>
      <c r="K89" s="6" t="s">
        <v>280</v>
      </c>
      <c r="L89" s="12"/>
    </row>
    <row r="90" spans="1:12" x14ac:dyDescent="0.3">
      <c r="A90" s="8">
        <v>88</v>
      </c>
      <c r="B90" s="2" t="s">
        <v>281</v>
      </c>
      <c r="C90" s="2" t="s">
        <v>281</v>
      </c>
      <c r="D90" s="2">
        <v>108</v>
      </c>
      <c r="E90" s="2">
        <v>36</v>
      </c>
      <c r="F90" s="2">
        <v>72</v>
      </c>
      <c r="G90" s="2" t="s">
        <v>7</v>
      </c>
      <c r="H90" s="2" t="s">
        <v>36</v>
      </c>
      <c r="I90" s="2" t="s">
        <v>9</v>
      </c>
      <c r="J90" s="2" t="s">
        <v>282</v>
      </c>
      <c r="K90" s="6" t="s">
        <v>283</v>
      </c>
      <c r="L90" s="12"/>
    </row>
    <row r="91" spans="1:12" x14ac:dyDescent="0.3">
      <c r="A91" s="8">
        <v>89</v>
      </c>
      <c r="B91" s="2" t="s">
        <v>284</v>
      </c>
      <c r="C91" s="2" t="s">
        <v>284</v>
      </c>
      <c r="D91" s="2">
        <v>41</v>
      </c>
      <c r="E91" s="2">
        <v>21</v>
      </c>
      <c r="F91" s="2">
        <v>20</v>
      </c>
      <c r="G91" s="2" t="s">
        <v>7</v>
      </c>
      <c r="H91" s="2" t="s">
        <v>36</v>
      </c>
      <c r="I91" s="2" t="s">
        <v>9</v>
      </c>
      <c r="J91" s="2" t="s">
        <v>285</v>
      </c>
      <c r="K91" s="6" t="s">
        <v>286</v>
      </c>
      <c r="L91" s="12"/>
    </row>
    <row r="92" spans="1:12" x14ac:dyDescent="0.3">
      <c r="A92" s="8">
        <v>90</v>
      </c>
      <c r="B92" s="2" t="s">
        <v>287</v>
      </c>
      <c r="C92" s="2" t="s">
        <v>287</v>
      </c>
      <c r="D92" s="2">
        <v>91</v>
      </c>
      <c r="E92" s="2">
        <v>45</v>
      </c>
      <c r="F92" s="2">
        <v>46</v>
      </c>
      <c r="G92" s="2" t="s">
        <v>7</v>
      </c>
      <c r="H92" s="2" t="s">
        <v>36</v>
      </c>
      <c r="I92" s="2" t="s">
        <v>9</v>
      </c>
      <c r="J92" s="2" t="s">
        <v>288</v>
      </c>
      <c r="K92" s="6" t="s">
        <v>289</v>
      </c>
      <c r="L92" s="12"/>
    </row>
    <row r="93" spans="1:12" x14ac:dyDescent="0.3">
      <c r="A93" s="8">
        <v>91</v>
      </c>
      <c r="B93" s="2" t="s">
        <v>290</v>
      </c>
      <c r="C93" s="2" t="s">
        <v>290</v>
      </c>
      <c r="D93" s="2">
        <v>60</v>
      </c>
      <c r="E93" s="2">
        <v>20</v>
      </c>
      <c r="F93" s="2">
        <v>40</v>
      </c>
      <c r="G93" s="2" t="s">
        <v>7</v>
      </c>
      <c r="H93" s="2" t="s">
        <v>36</v>
      </c>
      <c r="I93" s="2" t="s">
        <v>9</v>
      </c>
      <c r="J93" s="5" t="s">
        <v>291</v>
      </c>
      <c r="K93" s="6" t="s">
        <v>292</v>
      </c>
      <c r="L93" s="12"/>
    </row>
    <row r="94" spans="1:12" x14ac:dyDescent="0.3">
      <c r="A94" s="8">
        <v>92</v>
      </c>
      <c r="B94" s="2" t="s">
        <v>293</v>
      </c>
      <c r="C94" s="2" t="s">
        <v>293</v>
      </c>
      <c r="D94" s="2">
        <v>40</v>
      </c>
      <c r="E94" s="2">
        <v>10</v>
      </c>
      <c r="F94" s="2">
        <v>30</v>
      </c>
      <c r="G94" s="2" t="s">
        <v>7</v>
      </c>
      <c r="H94" s="2" t="s">
        <v>36</v>
      </c>
      <c r="I94" s="2" t="s">
        <v>9</v>
      </c>
      <c r="J94" s="2" t="s">
        <v>294</v>
      </c>
      <c r="K94" s="6" t="s">
        <v>295</v>
      </c>
      <c r="L94" s="12"/>
    </row>
    <row r="95" spans="1:12" x14ac:dyDescent="0.3">
      <c r="A95" s="8">
        <v>93</v>
      </c>
      <c r="B95" s="2" t="s">
        <v>498</v>
      </c>
      <c r="C95" s="2" t="s">
        <v>296</v>
      </c>
      <c r="D95" s="2">
        <v>338</v>
      </c>
      <c r="E95" s="2">
        <v>160</v>
      </c>
      <c r="F95" s="2">
        <v>178</v>
      </c>
      <c r="G95" s="2" t="s">
        <v>7</v>
      </c>
      <c r="H95" s="2" t="s">
        <v>297</v>
      </c>
      <c r="I95" s="2" t="s">
        <v>17</v>
      </c>
      <c r="J95" s="2" t="s">
        <v>162</v>
      </c>
      <c r="K95" s="6" t="s">
        <v>163</v>
      </c>
      <c r="L95" s="12"/>
    </row>
    <row r="96" spans="1:12" x14ac:dyDescent="0.3">
      <c r="A96" s="8">
        <v>94</v>
      </c>
      <c r="B96" s="2" t="s">
        <v>298</v>
      </c>
      <c r="C96" s="2" t="s">
        <v>298</v>
      </c>
      <c r="D96" s="2">
        <v>42</v>
      </c>
      <c r="E96" s="2">
        <v>21</v>
      </c>
      <c r="F96" s="2">
        <v>21</v>
      </c>
      <c r="G96" s="2" t="s">
        <v>7</v>
      </c>
      <c r="H96" s="2" t="s">
        <v>36</v>
      </c>
      <c r="I96" s="2" t="s">
        <v>9</v>
      </c>
      <c r="J96" s="2" t="s">
        <v>299</v>
      </c>
      <c r="K96" s="6" t="s">
        <v>300</v>
      </c>
      <c r="L96" s="12"/>
    </row>
    <row r="97" spans="1:12" x14ac:dyDescent="0.3">
      <c r="A97" s="8">
        <v>95</v>
      </c>
      <c r="B97" s="2" t="s">
        <v>301</v>
      </c>
      <c r="C97" s="2" t="s">
        <v>301</v>
      </c>
      <c r="D97" s="2">
        <v>84</v>
      </c>
      <c r="E97" s="2">
        <v>51</v>
      </c>
      <c r="F97" s="2">
        <v>33</v>
      </c>
      <c r="G97" s="2" t="s">
        <v>7</v>
      </c>
      <c r="H97" s="2" t="s">
        <v>36</v>
      </c>
      <c r="I97" s="2" t="s">
        <v>9</v>
      </c>
      <c r="J97" s="2" t="s">
        <v>302</v>
      </c>
      <c r="K97" s="6" t="s">
        <v>303</v>
      </c>
      <c r="L97" s="12"/>
    </row>
    <row r="98" spans="1:12" x14ac:dyDescent="0.3">
      <c r="A98" s="8">
        <v>96</v>
      </c>
      <c r="B98" s="2" t="s">
        <v>304</v>
      </c>
      <c r="C98" s="2" t="s">
        <v>304</v>
      </c>
      <c r="D98" s="2">
        <v>26</v>
      </c>
      <c r="E98" s="2">
        <v>12</v>
      </c>
      <c r="F98" s="2">
        <v>14</v>
      </c>
      <c r="G98" s="2" t="s">
        <v>7</v>
      </c>
      <c r="H98" s="2" t="s">
        <v>305</v>
      </c>
      <c r="I98" s="2" t="s">
        <v>9</v>
      </c>
      <c r="J98" s="2" t="s">
        <v>306</v>
      </c>
      <c r="K98" s="6" t="s">
        <v>307</v>
      </c>
      <c r="L98" s="12"/>
    </row>
    <row r="99" spans="1:12" x14ac:dyDescent="0.3">
      <c r="A99" s="8">
        <v>97</v>
      </c>
      <c r="B99" s="2" t="s">
        <v>499</v>
      </c>
      <c r="C99" s="2" t="s">
        <v>208</v>
      </c>
      <c r="D99" s="2">
        <v>770</v>
      </c>
      <c r="E99" s="2">
        <v>323</v>
      </c>
      <c r="F99" s="2">
        <v>447</v>
      </c>
      <c r="G99" s="2" t="s">
        <v>7</v>
      </c>
      <c r="H99" s="2" t="s">
        <v>53</v>
      </c>
      <c r="I99" s="2" t="s">
        <v>9</v>
      </c>
      <c r="J99" s="2" t="s">
        <v>209</v>
      </c>
      <c r="K99" s="6" t="s">
        <v>210</v>
      </c>
      <c r="L99" s="12"/>
    </row>
    <row r="100" spans="1:12" x14ac:dyDescent="0.3">
      <c r="A100" s="8">
        <v>98</v>
      </c>
      <c r="B100" s="2" t="s">
        <v>499</v>
      </c>
      <c r="C100" s="2" t="s">
        <v>211</v>
      </c>
      <c r="D100" s="2">
        <v>123</v>
      </c>
      <c r="E100" s="2">
        <v>64</v>
      </c>
      <c r="F100" s="2">
        <v>59</v>
      </c>
      <c r="G100" s="2" t="s">
        <v>7</v>
      </c>
      <c r="H100" s="2" t="s">
        <v>53</v>
      </c>
      <c r="I100" s="2" t="s">
        <v>17</v>
      </c>
      <c r="J100" s="2" t="s">
        <v>212</v>
      </c>
      <c r="K100" s="6" t="s">
        <v>210</v>
      </c>
      <c r="L100" s="12"/>
    </row>
    <row r="101" spans="1:12" x14ac:dyDescent="0.3">
      <c r="A101" s="8">
        <v>99</v>
      </c>
      <c r="B101" s="2" t="s">
        <v>308</v>
      </c>
      <c r="C101" s="2" t="s">
        <v>308</v>
      </c>
      <c r="D101" s="2">
        <v>108</v>
      </c>
      <c r="E101" s="2">
        <v>40</v>
      </c>
      <c r="F101" s="2" t="s">
        <v>513</v>
      </c>
      <c r="G101" s="2" t="s">
        <v>7</v>
      </c>
      <c r="H101" s="2" t="s">
        <v>110</v>
      </c>
      <c r="I101" s="2" t="s">
        <v>9</v>
      </c>
      <c r="J101" s="2" t="s">
        <v>111</v>
      </c>
      <c r="K101" s="6" t="s">
        <v>112</v>
      </c>
      <c r="L101" s="12"/>
    </row>
    <row r="102" spans="1:12" x14ac:dyDescent="0.3">
      <c r="A102" s="8">
        <v>100</v>
      </c>
      <c r="B102" s="2" t="s">
        <v>309</v>
      </c>
      <c r="C102" s="2" t="s">
        <v>309</v>
      </c>
      <c r="D102" s="2">
        <v>40</v>
      </c>
      <c r="E102" s="2" t="s">
        <v>509</v>
      </c>
      <c r="F102" s="2">
        <v>40</v>
      </c>
      <c r="G102" s="2" t="s">
        <v>7</v>
      </c>
      <c r="H102" s="2" t="s">
        <v>53</v>
      </c>
      <c r="I102" s="2" t="s">
        <v>9</v>
      </c>
      <c r="J102" s="2" t="s">
        <v>78</v>
      </c>
      <c r="K102" s="6" t="s">
        <v>79</v>
      </c>
      <c r="L102" s="12"/>
    </row>
    <row r="103" spans="1:12" x14ac:dyDescent="0.3">
      <c r="A103" s="8">
        <v>101</v>
      </c>
      <c r="B103" s="2" t="s">
        <v>310</v>
      </c>
      <c r="C103" s="2" t="s">
        <v>310</v>
      </c>
      <c r="D103" s="2">
        <v>125</v>
      </c>
      <c r="E103" s="2" t="s">
        <v>510</v>
      </c>
      <c r="F103" s="2">
        <v>125</v>
      </c>
      <c r="G103" s="2" t="s">
        <v>7</v>
      </c>
      <c r="H103" s="2" t="s">
        <v>84</v>
      </c>
      <c r="I103" s="2" t="s">
        <v>9</v>
      </c>
      <c r="J103" s="2" t="s">
        <v>85</v>
      </c>
      <c r="K103" s="6" t="s">
        <v>86</v>
      </c>
      <c r="L103" s="12"/>
    </row>
    <row r="104" spans="1:12" x14ac:dyDescent="0.3">
      <c r="A104" s="8">
        <v>102</v>
      </c>
      <c r="B104" s="2" t="s">
        <v>311</v>
      </c>
      <c r="C104" s="2" t="s">
        <v>311</v>
      </c>
      <c r="D104" s="2">
        <v>11</v>
      </c>
      <c r="E104" s="2" t="s">
        <v>511</v>
      </c>
      <c r="F104" s="2">
        <v>11</v>
      </c>
      <c r="G104" s="2" t="s">
        <v>7</v>
      </c>
      <c r="H104" s="2" t="s">
        <v>84</v>
      </c>
      <c r="I104" s="2" t="s">
        <v>9</v>
      </c>
      <c r="J104" s="2" t="s">
        <v>171</v>
      </c>
      <c r="K104" s="6" t="s">
        <v>172</v>
      </c>
      <c r="L104" s="12"/>
    </row>
    <row r="105" spans="1:12" x14ac:dyDescent="0.3">
      <c r="A105" s="8">
        <v>103</v>
      </c>
      <c r="B105" s="2" t="s">
        <v>312</v>
      </c>
      <c r="C105" s="2" t="s">
        <v>312</v>
      </c>
      <c r="D105" s="2">
        <v>334</v>
      </c>
      <c r="E105" s="2">
        <v>0</v>
      </c>
      <c r="F105" s="2">
        <v>334</v>
      </c>
      <c r="G105" s="2" t="s">
        <v>7</v>
      </c>
      <c r="H105" s="2" t="s">
        <v>70</v>
      </c>
      <c r="I105" s="2" t="s">
        <v>17</v>
      </c>
      <c r="J105" s="2" t="s">
        <v>313</v>
      </c>
      <c r="K105" s="6" t="s">
        <v>314</v>
      </c>
      <c r="L105" s="12"/>
    </row>
    <row r="106" spans="1:12" x14ac:dyDescent="0.3">
      <c r="A106" s="8">
        <v>104</v>
      </c>
      <c r="B106" s="2" t="s">
        <v>315</v>
      </c>
      <c r="C106" s="2" t="s">
        <v>315</v>
      </c>
      <c r="D106" s="2">
        <v>150</v>
      </c>
      <c r="E106" s="2">
        <v>0</v>
      </c>
      <c r="F106" s="2">
        <v>150</v>
      </c>
      <c r="G106" s="2" t="s">
        <v>7</v>
      </c>
      <c r="H106" s="2" t="s">
        <v>53</v>
      </c>
      <c r="I106" s="2" t="s">
        <v>9</v>
      </c>
      <c r="J106" s="2" t="s">
        <v>316</v>
      </c>
      <c r="K106" s="6" t="s">
        <v>317</v>
      </c>
      <c r="L106" s="12"/>
    </row>
    <row r="107" spans="1:12" x14ac:dyDescent="0.3">
      <c r="A107" s="8">
        <v>105</v>
      </c>
      <c r="B107" s="10" t="s">
        <v>318</v>
      </c>
      <c r="C107" s="10" t="s">
        <v>318</v>
      </c>
      <c r="D107" s="10">
        <v>82</v>
      </c>
      <c r="E107" s="10">
        <v>0</v>
      </c>
      <c r="F107" s="10">
        <v>82</v>
      </c>
      <c r="G107" s="10" t="s">
        <v>7</v>
      </c>
      <c r="H107" s="10" t="s">
        <v>53</v>
      </c>
      <c r="I107" s="10" t="s">
        <v>17</v>
      </c>
      <c r="J107" s="10" t="s">
        <v>319</v>
      </c>
      <c r="K107" s="25" t="s">
        <v>320</v>
      </c>
      <c r="L107" s="12"/>
    </row>
    <row r="108" spans="1:12" x14ac:dyDescent="0.3">
      <c r="A108" s="24"/>
      <c r="B108" s="10"/>
      <c r="C108" s="10" t="s">
        <v>491</v>
      </c>
      <c r="D108" s="10">
        <f>SUM(D3:D107)</f>
        <v>18800</v>
      </c>
      <c r="E108" s="10">
        <f>SUM(E3:E101)</f>
        <v>15244</v>
      </c>
      <c r="F108" s="10">
        <f>SUM(F3:F107)</f>
        <v>3488</v>
      </c>
      <c r="G108" s="10"/>
      <c r="H108" s="10"/>
      <c r="I108" s="10"/>
      <c r="J108" s="10"/>
      <c r="K108" s="30"/>
      <c r="L108" s="12"/>
    </row>
    <row r="110" spans="1:12" x14ac:dyDescent="0.3">
      <c r="E110" t="s">
        <v>512</v>
      </c>
    </row>
    <row r="111" spans="1:12" x14ac:dyDescent="0.3">
      <c r="E111" t="s">
        <v>514</v>
      </c>
    </row>
  </sheetData>
  <mergeCells count="1">
    <mergeCell ref="A1:K1"/>
  </mergeCells>
  <hyperlinks>
    <hyperlink ref="K27" r:id="rId1" xr:uid="{AD3CFA44-D9FE-47B1-85A2-46DBBAB6637E}"/>
    <hyperlink ref="K4" r:id="rId2" xr:uid="{571AB10E-B29B-4C8F-A4F8-67FCCBB78E67}"/>
    <hyperlink ref="K5" r:id="rId3" xr:uid="{15AE3BC3-AE23-4172-9C87-2BD54826AED7}"/>
    <hyperlink ref="K6" r:id="rId4" xr:uid="{F8EC1EA4-5962-49E4-8B31-04054EC10BB2}"/>
    <hyperlink ref="K7" r:id="rId5" xr:uid="{EB201CF6-AC97-4FBF-AF79-92CBDD922CC3}"/>
    <hyperlink ref="K8" r:id="rId6" xr:uid="{B3D2A0F5-8D66-4B09-A4FD-43F700BBA5BE}"/>
    <hyperlink ref="K9" r:id="rId7" xr:uid="{6B4AA11E-4CA2-4F38-B442-111C3F843C4B}"/>
    <hyperlink ref="K10" r:id="rId8" xr:uid="{F22941C1-2393-4719-A870-D9E133BBF97A}"/>
    <hyperlink ref="K11" r:id="rId9" xr:uid="{949FCAB2-1747-4C03-B0FF-20691E05A93F}"/>
    <hyperlink ref="K12" r:id="rId10" xr:uid="{308AD878-BE03-4B25-9A6C-C6E99821E96C}"/>
    <hyperlink ref="K13" r:id="rId11" xr:uid="{A303A476-E11E-4195-8FE1-A241F9C74661}"/>
    <hyperlink ref="K14" r:id="rId12" xr:uid="{94CFFC4E-AA0D-41AF-8846-7495FF2FD685}"/>
    <hyperlink ref="K15" r:id="rId13" xr:uid="{96C42FD5-A218-4314-84A6-D373800404EF}"/>
    <hyperlink ref="K16" r:id="rId14" xr:uid="{8E039151-778E-41ED-8875-50B5E2A002DE}"/>
    <hyperlink ref="K19" r:id="rId15" xr:uid="{A0F6276D-7039-43D7-8D9F-FF622E1B6048}"/>
    <hyperlink ref="K20" r:id="rId16" xr:uid="{099ED2DA-5E66-4310-B2E1-5A10ED2BCCB1}"/>
    <hyperlink ref="K21" r:id="rId17" xr:uid="{EE097998-72E8-4F19-99E4-A3B93B83F983}"/>
    <hyperlink ref="K22" r:id="rId18" xr:uid="{B1BFD50B-9844-4E87-B0E2-718ACD52F849}"/>
    <hyperlink ref="K23" r:id="rId19" xr:uid="{E80869A3-3F59-475F-9055-3B026B8A83B1}"/>
    <hyperlink ref="K24" r:id="rId20" xr:uid="{9BEAC24A-A3D1-460E-A9D8-D61AF78EB75E}"/>
    <hyperlink ref="K25" r:id="rId21" xr:uid="{99D3C08E-5BB9-4865-83DF-02C27C38903A}"/>
    <hyperlink ref="K26" r:id="rId22" xr:uid="{620DB4CB-1DB4-4EF0-92E8-EB16CE63D4C3}"/>
    <hyperlink ref="K28" r:id="rId23" xr:uid="{DEB75ED3-A805-4B60-8A24-F72DDA80CDE4}"/>
    <hyperlink ref="K29" r:id="rId24" xr:uid="{BF7FBC2C-5B13-4038-B95D-4A7336521C1C}"/>
    <hyperlink ref="K30" r:id="rId25" xr:uid="{3BD0851B-C758-4B4E-9A2C-CF5AB35CF41E}"/>
    <hyperlink ref="K31" r:id="rId26" xr:uid="{3F6BDCF2-BAFA-4A30-AFF9-F45A83E39F14}"/>
    <hyperlink ref="K32" r:id="rId27" xr:uid="{F05D19A8-69C4-4741-9955-4F4C3D869899}"/>
    <hyperlink ref="K33" r:id="rId28" xr:uid="{DC92EB40-3DCB-4668-B9AA-A2B586A88C3D}"/>
    <hyperlink ref="K34" r:id="rId29" xr:uid="{6E8852C9-6D0D-4336-8181-AE36EBE4F1D3}"/>
    <hyperlink ref="K35" r:id="rId30" xr:uid="{872E6FAC-737F-401C-9CC8-EED5B876961C}"/>
    <hyperlink ref="K36" r:id="rId31" xr:uid="{509E6BBE-CA59-4D1F-8612-FB0C986D84F5}"/>
    <hyperlink ref="K37" r:id="rId32" xr:uid="{74171AD1-5DD8-4FAA-80BB-A031255351AD}"/>
    <hyperlink ref="K38" r:id="rId33" xr:uid="{6B31D910-2969-4B8F-B2D4-739C4414E2A3}"/>
    <hyperlink ref="K39" r:id="rId34" xr:uid="{EA89AEB2-6823-41E4-8AB4-2B2FD8D3149E}"/>
    <hyperlink ref="K40" r:id="rId35" xr:uid="{84FCC676-D99E-4BDD-AFE5-517BC229D964}"/>
    <hyperlink ref="K41" r:id="rId36" xr:uid="{FE0A29F4-0090-450B-AD47-7E6DAD647BCC}"/>
    <hyperlink ref="K42" r:id="rId37" xr:uid="{3DE3FD8D-A14B-477D-BFC7-E182F9D67374}"/>
    <hyperlink ref="K43" r:id="rId38" xr:uid="{3E7218D3-1112-4964-8E05-1FFB88D1C88B}"/>
    <hyperlink ref="K44" r:id="rId39" xr:uid="{95153E97-A195-42CA-A14C-773384978843}"/>
    <hyperlink ref="K45" r:id="rId40" xr:uid="{391ECD91-DF8E-423D-B7C0-335C9DA361DB}"/>
    <hyperlink ref="K46" r:id="rId41" xr:uid="{6033AB5F-BB37-4340-8619-801B6BDEAB62}"/>
    <hyperlink ref="K107" r:id="rId42" xr:uid="{EE6373DD-DAF4-4C05-A37D-4A46244E4B44}"/>
    <hyperlink ref="K106" r:id="rId43" xr:uid="{A719AC22-9C45-41B8-AFBE-ACE9A0058201}"/>
    <hyperlink ref="K105" r:id="rId44" xr:uid="{A6382FD9-41F2-4229-8D59-628B6AAD3CA7}"/>
    <hyperlink ref="K104" r:id="rId45" xr:uid="{00A398F9-E2B8-4A08-9CBD-B9A309C775D3}"/>
    <hyperlink ref="K103" r:id="rId46" xr:uid="{CC80F4FA-C583-4EFF-8425-B5478EF6946A}"/>
    <hyperlink ref="K102" r:id="rId47" xr:uid="{098A3D43-CD63-44EA-9466-5485E2F2E9AF}"/>
    <hyperlink ref="K101" r:id="rId48" xr:uid="{6DDAE179-ADB1-4EF6-BE89-DB52C291F611}"/>
    <hyperlink ref="K100" r:id="rId49" xr:uid="{4E36C70F-968D-4A34-9218-FA04BA50D4B0}"/>
    <hyperlink ref="K99" r:id="rId50" xr:uid="{BC6BCDC6-3D95-4181-AC78-BAD370BED3A2}"/>
    <hyperlink ref="K98" r:id="rId51" xr:uid="{BAD6DB49-0E8C-42F7-821F-A26719C3FAB9}"/>
    <hyperlink ref="K97" r:id="rId52" xr:uid="{B84756EB-9E4E-4015-9B5B-11BEC10098F6}"/>
    <hyperlink ref="K96" r:id="rId53" xr:uid="{09B1E1D7-2C2E-4CEC-8F94-ABF7860BB3D0}"/>
    <hyperlink ref="K95" r:id="rId54" xr:uid="{81945658-0294-4904-B2CD-4E70E4D636F2}"/>
    <hyperlink ref="K94" r:id="rId55" xr:uid="{58A010F2-0C4E-4FBC-A6F5-05E28A8B1356}"/>
    <hyperlink ref="K93" r:id="rId56" xr:uid="{C9BB79FE-650E-4E0F-A930-F93AC929F17B}"/>
    <hyperlink ref="K92" r:id="rId57" xr:uid="{FD745D8D-3C69-4F73-AA60-345D29A3AF7A}"/>
    <hyperlink ref="K91" r:id="rId58" xr:uid="{E5C923E2-8992-444B-9022-5367BD3FA087}"/>
    <hyperlink ref="K90" r:id="rId59" xr:uid="{8585F7FA-A520-4533-8B85-24547BF3F36F}"/>
    <hyperlink ref="K89" r:id="rId60" xr:uid="{BFF5AB41-E139-4D79-B227-E325087CE788}"/>
    <hyperlink ref="K88" r:id="rId61" xr:uid="{4677F0F2-6A69-4C46-82AD-10EA35791DB8}"/>
    <hyperlink ref="K87" r:id="rId62" xr:uid="{F1EFF41C-AA6E-4DE5-AC59-C9D7419B3703}"/>
    <hyperlink ref="K86" r:id="rId63" xr:uid="{0253ECBE-CD1E-487C-8408-B1D97981445D}"/>
    <hyperlink ref="K85" r:id="rId64" xr:uid="{3F3839E2-30FE-478E-94C7-A86F80FA58FD}"/>
    <hyperlink ref="K84" r:id="rId65" xr:uid="{7608241F-6B9A-4FA3-8501-C3A2E82B2D8B}"/>
    <hyperlink ref="K83" r:id="rId66" xr:uid="{760A95A8-BE32-4EEB-AB2D-B87EB185B4FF}"/>
    <hyperlink ref="K82" r:id="rId67" xr:uid="{052E4BFF-6B4E-4A14-B0A9-CAE7A3C518A5}"/>
    <hyperlink ref="K81" r:id="rId68" xr:uid="{A7034C88-2EE8-4DB3-A527-97FE60FE4858}"/>
    <hyperlink ref="K80" r:id="rId69" xr:uid="{5D7867C6-1DFB-465A-B6E6-587235952B90}"/>
    <hyperlink ref="K79" r:id="rId70" xr:uid="{B7451EA2-1DA2-47CD-932B-C76366079226}"/>
    <hyperlink ref="K78" r:id="rId71" xr:uid="{34B2AE8A-5495-4633-8B8E-80C1BBC6AF69}"/>
    <hyperlink ref="K77" r:id="rId72" xr:uid="{8FABECF4-C978-45C6-A919-030B467105B8}"/>
    <hyperlink ref="K76" r:id="rId73" xr:uid="{760CFCE3-4E6D-4064-BBE1-590577ECFC18}"/>
    <hyperlink ref="K75" r:id="rId74" xr:uid="{089C3E0A-87F8-46DF-B51C-28E76DBF14C9}"/>
    <hyperlink ref="K74" r:id="rId75" xr:uid="{0AC150BC-69C5-4336-81D9-11B7596EFE44}"/>
    <hyperlink ref="K73" r:id="rId76" xr:uid="{F6B8BEF3-F7BF-478B-9EB6-0964C07D639D}"/>
    <hyperlink ref="K72" r:id="rId77" xr:uid="{2F442E7F-E504-480E-8533-3811D4AD9D5C}"/>
    <hyperlink ref="K71" r:id="rId78" xr:uid="{6552E82A-D1A7-498E-BB90-2E9A4C36CD98}"/>
    <hyperlink ref="K70" r:id="rId79" xr:uid="{59E098C9-9BD4-4A92-9DAD-BEE53C1CADF3}"/>
    <hyperlink ref="K69" r:id="rId80" xr:uid="{894DC6D1-F1FE-44E1-ACEA-411BD03A77DE}"/>
    <hyperlink ref="K68" r:id="rId81" xr:uid="{3A509175-A415-4326-A7E7-856201B80E10}"/>
    <hyperlink ref="K67" r:id="rId82" xr:uid="{EB906DFC-7C17-4841-A51B-B6F4E5095AB9}"/>
    <hyperlink ref="K66" r:id="rId83" xr:uid="{EAFBAE7F-350A-453E-BC4A-AECC4239F7EF}"/>
    <hyperlink ref="K65" r:id="rId84" xr:uid="{095D5264-DABA-45E9-8F1A-83975158D2EF}"/>
    <hyperlink ref="K64" r:id="rId85" xr:uid="{95A60745-0E7C-45CC-86C4-344CBC54AF67}"/>
    <hyperlink ref="K63" r:id="rId86" xr:uid="{CDD5BDCE-8174-4D0C-84E9-631BD4F3C6E1}"/>
    <hyperlink ref="K62" r:id="rId87" xr:uid="{EFC8B996-8A57-4985-9F37-DE9DC07758A2}"/>
    <hyperlink ref="K61" r:id="rId88" xr:uid="{352C21C2-187E-45C2-A593-11634A3B67B0}"/>
    <hyperlink ref="K60" r:id="rId89" xr:uid="{C66BABCC-6919-43B9-A31E-31B8B6621B85}"/>
    <hyperlink ref="K59" r:id="rId90" xr:uid="{D31E6E72-1548-48EE-B294-208A0C4198B0}"/>
    <hyperlink ref="K58" r:id="rId91" xr:uid="{E9012FC1-C6D5-49AD-A6B8-63B3E7A99EAD}"/>
    <hyperlink ref="K57" r:id="rId92" xr:uid="{FCC51ADB-136A-4330-A3CE-CE206E4F841D}"/>
    <hyperlink ref="K47" r:id="rId93" xr:uid="{99A9D1AF-0B86-46B0-A0E7-1B51F65B5638}"/>
    <hyperlink ref="K48" r:id="rId94" xr:uid="{18CEC368-6CC2-4003-B767-7816F196E1DC}"/>
    <hyperlink ref="K49" r:id="rId95" xr:uid="{F80F3F31-1ABA-42ED-86F4-731C69E83EBF}"/>
    <hyperlink ref="K50" r:id="rId96" xr:uid="{6654AF5A-DBFB-4BAF-83F6-793310558027}"/>
    <hyperlink ref="K51" r:id="rId97" xr:uid="{2766D353-715D-487F-BEC4-6BC329D64204}"/>
    <hyperlink ref="K52" r:id="rId98" xr:uid="{B31B53C3-1D6A-441C-8E05-DB943E821889}"/>
    <hyperlink ref="K53" r:id="rId99" xr:uid="{401A276B-2DC3-474F-8688-D7F509B1DCA7}"/>
    <hyperlink ref="K54" r:id="rId100" xr:uid="{78C39EA9-09E3-4E78-89A3-A28B04FCA630}"/>
    <hyperlink ref="K55" r:id="rId101" xr:uid="{7647FF2D-00AF-4B38-AF69-45240A764D5F}"/>
    <hyperlink ref="K56" r:id="rId102" xr:uid="{0748C21A-32D1-4669-BDBC-BDE1C04F9B00}"/>
  </hyperlinks>
  <pageMargins left="0.7" right="0.7" top="0.75" bottom="0.75" header="0.3" footer="0.3"/>
  <pageSetup orientation="portrait" r:id="rId103"/>
  <tableParts count="1">
    <tablePart r:id="rId10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57996-5A58-4272-82D2-AAE8275E7C52}">
  <dimension ref="A1:K29"/>
  <sheetViews>
    <sheetView zoomScaleNormal="100" workbookViewId="0">
      <selection activeCell="E29" sqref="E29"/>
    </sheetView>
  </sheetViews>
  <sheetFormatPr defaultColWidth="8.77734375" defaultRowHeight="14.4" x14ac:dyDescent="0.3"/>
  <cols>
    <col min="1" max="1" width="5.109375" style="22" customWidth="1"/>
    <col min="2" max="2" width="18" style="22" customWidth="1"/>
    <col min="3" max="3" width="22.109375" style="4" customWidth="1"/>
    <col min="4" max="6" width="14.33203125" customWidth="1"/>
    <col min="7" max="7" width="23.33203125" customWidth="1"/>
    <col min="8" max="8" width="16.6640625" style="4" customWidth="1"/>
    <col min="9" max="9" width="17" customWidth="1"/>
    <col min="10" max="10" width="19.44140625" customWidth="1"/>
    <col min="11" max="11" width="47.77734375" style="4" customWidth="1"/>
    <col min="27" max="27" width="16.77734375" bestFit="1" customWidth="1"/>
  </cols>
  <sheetData>
    <row r="1" spans="1:11" ht="38.549999999999997" customHeight="1" x14ac:dyDescent="0.3">
      <c r="A1" s="35" t="s">
        <v>516</v>
      </c>
      <c r="B1" s="35"/>
      <c r="C1" s="35"/>
      <c r="D1" s="35"/>
      <c r="E1" s="35"/>
      <c r="F1" s="35"/>
      <c r="G1" s="35"/>
      <c r="H1" s="35"/>
      <c r="I1" s="35"/>
      <c r="J1" s="35"/>
      <c r="K1" s="35"/>
    </row>
    <row r="2" spans="1:11" ht="28.8" x14ac:dyDescent="0.3">
      <c r="A2" s="16"/>
      <c r="B2" s="16" t="s">
        <v>492</v>
      </c>
      <c r="C2" s="16" t="s">
        <v>0</v>
      </c>
      <c r="D2" s="16" t="s">
        <v>1</v>
      </c>
      <c r="E2" s="16" t="s">
        <v>507</v>
      </c>
      <c r="F2" s="16" t="s">
        <v>508</v>
      </c>
      <c r="G2" s="16" t="s">
        <v>2</v>
      </c>
      <c r="H2" s="16" t="s">
        <v>3</v>
      </c>
      <c r="I2" s="16" t="s">
        <v>4</v>
      </c>
      <c r="J2" s="16" t="s">
        <v>436</v>
      </c>
      <c r="K2" s="16" t="s">
        <v>5</v>
      </c>
    </row>
    <row r="3" spans="1:11" x14ac:dyDescent="0.3">
      <c r="A3" s="19">
        <v>1</v>
      </c>
      <c r="B3" s="9" t="s">
        <v>24</v>
      </c>
      <c r="C3" s="9" t="s">
        <v>24</v>
      </c>
      <c r="D3" s="9">
        <v>40</v>
      </c>
      <c r="E3" s="9">
        <v>40</v>
      </c>
      <c r="F3" s="9">
        <v>0</v>
      </c>
      <c r="G3" s="9" t="s">
        <v>340</v>
      </c>
      <c r="H3" s="9" t="s">
        <v>25</v>
      </c>
      <c r="I3" s="9" t="s">
        <v>17</v>
      </c>
      <c r="J3" s="9" t="s">
        <v>26</v>
      </c>
      <c r="K3" s="9" t="s">
        <v>27</v>
      </c>
    </row>
    <row r="4" spans="1:11" x14ac:dyDescent="0.3">
      <c r="A4" s="20">
        <v>2</v>
      </c>
      <c r="B4" s="2" t="s">
        <v>321</v>
      </c>
      <c r="C4" s="2" t="s">
        <v>322</v>
      </c>
      <c r="D4" s="2">
        <v>12</v>
      </c>
      <c r="E4" s="2">
        <v>12</v>
      </c>
      <c r="F4" s="9">
        <v>0</v>
      </c>
      <c r="G4" s="2" t="s">
        <v>340</v>
      </c>
      <c r="H4" s="2" t="s">
        <v>53</v>
      </c>
      <c r="I4" s="2" t="s">
        <v>9</v>
      </c>
      <c r="J4" s="2" t="s">
        <v>343</v>
      </c>
      <c r="K4" s="2" t="s">
        <v>344</v>
      </c>
    </row>
    <row r="5" spans="1:11" x14ac:dyDescent="0.3">
      <c r="A5" s="20">
        <v>3</v>
      </c>
      <c r="B5" s="2" t="s">
        <v>323</v>
      </c>
      <c r="C5" s="2" t="s">
        <v>323</v>
      </c>
      <c r="D5" s="2">
        <v>75</v>
      </c>
      <c r="E5" s="2">
        <v>75</v>
      </c>
      <c r="F5" s="9">
        <v>0</v>
      </c>
      <c r="G5" s="2" t="s">
        <v>340</v>
      </c>
      <c r="H5" s="2" t="s">
        <v>49</v>
      </c>
      <c r="I5" s="2" t="s">
        <v>9</v>
      </c>
      <c r="J5" s="2" t="s">
        <v>345</v>
      </c>
      <c r="K5" s="2" t="s">
        <v>346</v>
      </c>
    </row>
    <row r="6" spans="1:11" ht="43.2" x14ac:dyDescent="0.3">
      <c r="A6" s="20">
        <v>4</v>
      </c>
      <c r="B6" s="2" t="s">
        <v>391</v>
      </c>
      <c r="C6" s="2" t="s">
        <v>325</v>
      </c>
      <c r="D6" s="2">
        <v>24</v>
      </c>
      <c r="E6" s="2">
        <v>24</v>
      </c>
      <c r="F6" s="9">
        <v>0</v>
      </c>
      <c r="G6" s="2" t="s">
        <v>340</v>
      </c>
      <c r="H6" s="2" t="s">
        <v>53</v>
      </c>
      <c r="I6" s="2" t="s">
        <v>17</v>
      </c>
      <c r="J6" s="1" t="s">
        <v>347</v>
      </c>
      <c r="K6" s="2" t="s">
        <v>348</v>
      </c>
    </row>
    <row r="7" spans="1:11" x14ac:dyDescent="0.3">
      <c r="A7" s="20">
        <v>5</v>
      </c>
      <c r="B7" s="2" t="s">
        <v>326</v>
      </c>
      <c r="C7" s="2" t="s">
        <v>326</v>
      </c>
      <c r="D7" s="2">
        <v>132</v>
      </c>
      <c r="E7" s="2">
        <v>132</v>
      </c>
      <c r="F7" s="9">
        <v>0</v>
      </c>
      <c r="G7" s="2" t="s">
        <v>340</v>
      </c>
      <c r="H7" s="2" t="s">
        <v>53</v>
      </c>
      <c r="I7" s="2" t="s">
        <v>17</v>
      </c>
      <c r="J7" s="2"/>
      <c r="K7" s="2" t="s">
        <v>349</v>
      </c>
    </row>
    <row r="8" spans="1:11" x14ac:dyDescent="0.3">
      <c r="A8" s="20">
        <v>6</v>
      </c>
      <c r="B8" s="2" t="s">
        <v>329</v>
      </c>
      <c r="C8" s="2" t="s">
        <v>329</v>
      </c>
      <c r="D8" s="2">
        <v>64</v>
      </c>
      <c r="E8" s="2">
        <v>64</v>
      </c>
      <c r="F8" s="9">
        <v>0</v>
      </c>
      <c r="G8" s="2" t="s">
        <v>340</v>
      </c>
      <c r="H8" s="2" t="s">
        <v>36</v>
      </c>
      <c r="I8" s="2" t="s">
        <v>9</v>
      </c>
      <c r="J8" s="2" t="s">
        <v>350</v>
      </c>
      <c r="K8" s="2" t="s">
        <v>351</v>
      </c>
    </row>
    <row r="9" spans="1:11" x14ac:dyDescent="0.3">
      <c r="A9" s="20">
        <v>7</v>
      </c>
      <c r="B9" s="2" t="s">
        <v>309</v>
      </c>
      <c r="C9" s="2" t="s">
        <v>77</v>
      </c>
      <c r="D9" s="2">
        <v>20</v>
      </c>
      <c r="E9" s="2">
        <v>20</v>
      </c>
      <c r="F9" s="9">
        <v>0</v>
      </c>
      <c r="G9" s="2" t="s">
        <v>340</v>
      </c>
      <c r="H9" s="2" t="s">
        <v>53</v>
      </c>
      <c r="I9" s="2" t="s">
        <v>9</v>
      </c>
      <c r="J9" s="2" t="s">
        <v>78</v>
      </c>
      <c r="K9" s="2" t="s">
        <v>79</v>
      </c>
    </row>
    <row r="10" spans="1:11" x14ac:dyDescent="0.3">
      <c r="A10" s="20">
        <v>8</v>
      </c>
      <c r="B10" s="2" t="s">
        <v>502</v>
      </c>
      <c r="C10" s="2" t="s">
        <v>334</v>
      </c>
      <c r="D10" s="2">
        <v>35</v>
      </c>
      <c r="E10" s="2">
        <v>35</v>
      </c>
      <c r="F10" s="9">
        <v>0</v>
      </c>
      <c r="G10" s="2" t="s">
        <v>340</v>
      </c>
      <c r="H10" s="2" t="s">
        <v>53</v>
      </c>
      <c r="I10" s="2" t="s">
        <v>9</v>
      </c>
      <c r="J10" s="2" t="s">
        <v>352</v>
      </c>
      <c r="K10" s="2" t="s">
        <v>353</v>
      </c>
    </row>
    <row r="11" spans="1:11" x14ac:dyDescent="0.3">
      <c r="A11" s="20">
        <v>9</v>
      </c>
      <c r="B11" s="2" t="s">
        <v>502</v>
      </c>
      <c r="C11" s="2" t="s">
        <v>335</v>
      </c>
      <c r="D11" s="2">
        <v>35</v>
      </c>
      <c r="E11" s="2">
        <v>35</v>
      </c>
      <c r="F11" s="9">
        <v>0</v>
      </c>
      <c r="G11" s="2" t="s">
        <v>340</v>
      </c>
      <c r="H11" s="2" t="s">
        <v>53</v>
      </c>
      <c r="I11" s="2" t="s">
        <v>17</v>
      </c>
      <c r="J11" s="2" t="s">
        <v>352</v>
      </c>
      <c r="K11" s="2" t="s">
        <v>353</v>
      </c>
    </row>
    <row r="12" spans="1:11" x14ac:dyDescent="0.3">
      <c r="A12" s="20">
        <v>10</v>
      </c>
      <c r="B12" s="2" t="s">
        <v>181</v>
      </c>
      <c r="C12" s="2" t="s">
        <v>181</v>
      </c>
      <c r="D12" s="2">
        <v>26</v>
      </c>
      <c r="E12" s="2">
        <v>26</v>
      </c>
      <c r="F12" s="9">
        <v>0</v>
      </c>
      <c r="G12" s="2" t="s">
        <v>340</v>
      </c>
      <c r="H12" s="2" t="s">
        <v>53</v>
      </c>
      <c r="I12" s="2" t="s">
        <v>9</v>
      </c>
      <c r="J12" s="2" t="s">
        <v>182</v>
      </c>
      <c r="K12" s="2" t="s">
        <v>183</v>
      </c>
    </row>
    <row r="13" spans="1:11" x14ac:dyDescent="0.3">
      <c r="A13" s="20">
        <v>11</v>
      </c>
      <c r="B13" s="2" t="s">
        <v>181</v>
      </c>
      <c r="C13" s="2" t="s">
        <v>184</v>
      </c>
      <c r="D13" s="2">
        <v>39</v>
      </c>
      <c r="E13" s="2">
        <v>39</v>
      </c>
      <c r="F13" s="9">
        <v>0</v>
      </c>
      <c r="G13" s="2" t="s">
        <v>340</v>
      </c>
      <c r="H13" s="2" t="s">
        <v>53</v>
      </c>
      <c r="I13" s="2" t="s">
        <v>9</v>
      </c>
      <c r="J13" s="2" t="s">
        <v>182</v>
      </c>
      <c r="K13" s="2" t="s">
        <v>183</v>
      </c>
    </row>
    <row r="14" spans="1:11" x14ac:dyDescent="0.3">
      <c r="A14" s="20">
        <v>12</v>
      </c>
      <c r="B14" s="2" t="s">
        <v>338</v>
      </c>
      <c r="C14" s="2" t="s">
        <v>338</v>
      </c>
      <c r="D14" s="2">
        <v>40</v>
      </c>
      <c r="E14" s="2">
        <v>40</v>
      </c>
      <c r="F14" s="9">
        <v>0</v>
      </c>
      <c r="G14" s="2" t="s">
        <v>340</v>
      </c>
      <c r="H14" s="2" t="s">
        <v>36</v>
      </c>
      <c r="I14" s="2" t="s">
        <v>9</v>
      </c>
      <c r="J14" s="2" t="s">
        <v>354</v>
      </c>
      <c r="K14" s="2" t="s">
        <v>355</v>
      </c>
    </row>
    <row r="15" spans="1:11" x14ac:dyDescent="0.3">
      <c r="A15" s="20">
        <v>13</v>
      </c>
      <c r="B15" s="2" t="s">
        <v>321</v>
      </c>
      <c r="C15" s="2" t="s">
        <v>321</v>
      </c>
      <c r="D15" s="2">
        <v>145</v>
      </c>
      <c r="E15" s="2">
        <v>30</v>
      </c>
      <c r="F15" s="2">
        <v>115</v>
      </c>
      <c r="G15" s="2" t="s">
        <v>340</v>
      </c>
      <c r="H15" s="2" t="s">
        <v>53</v>
      </c>
      <c r="I15" s="2" t="s">
        <v>9</v>
      </c>
      <c r="J15" s="2" t="s">
        <v>343</v>
      </c>
      <c r="K15" s="2" t="s">
        <v>344</v>
      </c>
    </row>
    <row r="16" spans="1:11" x14ac:dyDescent="0.3">
      <c r="A16" s="20">
        <v>14</v>
      </c>
      <c r="B16" s="2" t="s">
        <v>324</v>
      </c>
      <c r="C16" s="2" t="s">
        <v>324</v>
      </c>
      <c r="D16" s="2">
        <v>24</v>
      </c>
      <c r="E16" s="2">
        <v>11</v>
      </c>
      <c r="F16" s="2">
        <v>13</v>
      </c>
      <c r="G16" s="2" t="s">
        <v>340</v>
      </c>
      <c r="H16" s="2" t="s">
        <v>53</v>
      </c>
      <c r="I16" s="2" t="s">
        <v>9</v>
      </c>
      <c r="J16" s="2" t="s">
        <v>356</v>
      </c>
      <c r="K16" s="2" t="s">
        <v>357</v>
      </c>
    </row>
    <row r="17" spans="1:11" x14ac:dyDescent="0.3">
      <c r="A17" s="20">
        <v>15</v>
      </c>
      <c r="B17" s="2" t="s">
        <v>327</v>
      </c>
      <c r="C17" s="2" t="s">
        <v>327</v>
      </c>
      <c r="D17" s="2">
        <v>40</v>
      </c>
      <c r="E17" s="2">
        <v>20</v>
      </c>
      <c r="F17" s="2">
        <v>20</v>
      </c>
      <c r="G17" s="2" t="s">
        <v>340</v>
      </c>
      <c r="H17" s="2" t="s">
        <v>248</v>
      </c>
      <c r="I17" s="2" t="s">
        <v>9</v>
      </c>
      <c r="J17" s="2" t="s">
        <v>358</v>
      </c>
      <c r="K17" s="2" t="s">
        <v>359</v>
      </c>
    </row>
    <row r="18" spans="1:11" ht="28.8" x14ac:dyDescent="0.3">
      <c r="A18" s="20">
        <v>16</v>
      </c>
      <c r="B18" s="2" t="s">
        <v>328</v>
      </c>
      <c r="C18" s="2" t="s">
        <v>328</v>
      </c>
      <c r="D18" s="2">
        <v>323</v>
      </c>
      <c r="E18" s="2">
        <v>158</v>
      </c>
      <c r="F18" s="2">
        <v>165</v>
      </c>
      <c r="G18" s="2" t="s">
        <v>340</v>
      </c>
      <c r="H18" s="2" t="s">
        <v>122</v>
      </c>
      <c r="I18" s="2" t="s">
        <v>9</v>
      </c>
      <c r="J18" s="1" t="s">
        <v>360</v>
      </c>
      <c r="K18" s="2" t="s">
        <v>361</v>
      </c>
    </row>
    <row r="19" spans="1:11" x14ac:dyDescent="0.3">
      <c r="A19" s="20">
        <v>17</v>
      </c>
      <c r="B19" s="2" t="s">
        <v>330</v>
      </c>
      <c r="C19" s="2" t="s">
        <v>330</v>
      </c>
      <c r="D19" s="2">
        <v>35</v>
      </c>
      <c r="E19" s="2">
        <v>20</v>
      </c>
      <c r="F19" s="2">
        <v>15</v>
      </c>
      <c r="G19" s="2" t="s">
        <v>340</v>
      </c>
      <c r="H19" s="2" t="s">
        <v>341</v>
      </c>
      <c r="I19" s="2" t="s">
        <v>9</v>
      </c>
      <c r="J19" s="2" t="s">
        <v>362</v>
      </c>
      <c r="K19" s="2" t="s">
        <v>363</v>
      </c>
    </row>
    <row r="20" spans="1:11" x14ac:dyDescent="0.3">
      <c r="A20" s="20">
        <v>18</v>
      </c>
      <c r="B20" s="2" t="s">
        <v>331</v>
      </c>
      <c r="C20" s="2" t="s">
        <v>331</v>
      </c>
      <c r="D20" s="2">
        <v>40</v>
      </c>
      <c r="E20" s="2">
        <v>20</v>
      </c>
      <c r="F20" s="2">
        <v>20</v>
      </c>
      <c r="G20" s="2" t="s">
        <v>340</v>
      </c>
      <c r="H20" s="2" t="s">
        <v>36</v>
      </c>
      <c r="I20" s="2" t="s">
        <v>17</v>
      </c>
      <c r="J20" s="2" t="s">
        <v>364</v>
      </c>
      <c r="K20" s="2" t="s">
        <v>365</v>
      </c>
    </row>
    <row r="21" spans="1:11" x14ac:dyDescent="0.3">
      <c r="A21" s="20">
        <v>19</v>
      </c>
      <c r="B21" s="2" t="s">
        <v>332</v>
      </c>
      <c r="C21" s="2" t="s">
        <v>332</v>
      </c>
      <c r="D21" s="2">
        <v>8790</v>
      </c>
      <c r="E21" s="2">
        <v>8252</v>
      </c>
      <c r="F21" s="2">
        <v>538</v>
      </c>
      <c r="G21" s="2" t="s">
        <v>340</v>
      </c>
      <c r="H21" s="2" t="s">
        <v>53</v>
      </c>
      <c r="I21" s="2" t="s">
        <v>9</v>
      </c>
      <c r="J21" s="2" t="s">
        <v>366</v>
      </c>
      <c r="K21" s="2" t="s">
        <v>367</v>
      </c>
    </row>
    <row r="22" spans="1:11" x14ac:dyDescent="0.3">
      <c r="A22" s="20">
        <v>20</v>
      </c>
      <c r="B22" s="2" t="s">
        <v>333</v>
      </c>
      <c r="C22" s="2" t="s">
        <v>333</v>
      </c>
      <c r="D22" s="2">
        <v>50</v>
      </c>
      <c r="E22" s="2">
        <v>25</v>
      </c>
      <c r="F22" s="2">
        <v>25</v>
      </c>
      <c r="G22" s="2" t="s">
        <v>340</v>
      </c>
      <c r="H22" s="2" t="s">
        <v>342</v>
      </c>
      <c r="I22" s="2" t="s">
        <v>9</v>
      </c>
      <c r="J22" s="2" t="s">
        <v>368</v>
      </c>
      <c r="K22" s="2" t="s">
        <v>369</v>
      </c>
    </row>
    <row r="23" spans="1:11" x14ac:dyDescent="0.3">
      <c r="A23" s="20">
        <v>21</v>
      </c>
      <c r="B23" s="2" t="s">
        <v>336</v>
      </c>
      <c r="C23" s="2" t="s">
        <v>336</v>
      </c>
      <c r="D23" s="2">
        <v>145</v>
      </c>
      <c r="E23" s="2">
        <v>29</v>
      </c>
      <c r="F23" s="2">
        <v>116</v>
      </c>
      <c r="G23" s="2" t="s">
        <v>340</v>
      </c>
      <c r="H23" s="2" t="s">
        <v>36</v>
      </c>
      <c r="I23" s="2" t="s">
        <v>9</v>
      </c>
      <c r="J23" s="2" t="s">
        <v>370</v>
      </c>
      <c r="K23" s="2" t="s">
        <v>371</v>
      </c>
    </row>
    <row r="24" spans="1:11" x14ac:dyDescent="0.3">
      <c r="A24" s="20">
        <v>22</v>
      </c>
      <c r="B24" s="2" t="s">
        <v>337</v>
      </c>
      <c r="C24" s="2" t="s">
        <v>337</v>
      </c>
      <c r="D24" s="2">
        <v>143</v>
      </c>
      <c r="E24" s="2">
        <v>51</v>
      </c>
      <c r="F24" s="2">
        <v>92</v>
      </c>
      <c r="G24" s="2" t="s">
        <v>340</v>
      </c>
      <c r="H24" s="2" t="s">
        <v>36</v>
      </c>
      <c r="I24" s="2" t="s">
        <v>17</v>
      </c>
      <c r="J24" s="2" t="s">
        <v>372</v>
      </c>
      <c r="K24" s="2" t="s">
        <v>373</v>
      </c>
    </row>
    <row r="25" spans="1:11" x14ac:dyDescent="0.3">
      <c r="A25" s="20">
        <v>23</v>
      </c>
      <c r="B25" s="2" t="s">
        <v>339</v>
      </c>
      <c r="C25" s="2" t="s">
        <v>339</v>
      </c>
      <c r="D25" s="2">
        <v>24</v>
      </c>
      <c r="E25" s="2">
        <v>10</v>
      </c>
      <c r="F25" s="2">
        <v>14</v>
      </c>
      <c r="G25" s="2" t="s">
        <v>340</v>
      </c>
      <c r="H25" s="2" t="s">
        <v>36</v>
      </c>
      <c r="I25" s="2" t="s">
        <v>9</v>
      </c>
      <c r="J25" s="2" t="s">
        <v>374</v>
      </c>
      <c r="K25" s="2" t="s">
        <v>375</v>
      </c>
    </row>
    <row r="26" spans="1:11" x14ac:dyDescent="0.3">
      <c r="A26" s="21">
        <v>24</v>
      </c>
      <c r="B26" s="10" t="s">
        <v>309</v>
      </c>
      <c r="C26" s="10" t="s">
        <v>309</v>
      </c>
      <c r="D26" s="10">
        <v>80</v>
      </c>
      <c r="E26" s="10" t="s">
        <v>517</v>
      </c>
      <c r="F26" s="10">
        <v>80</v>
      </c>
      <c r="G26" s="10" t="s">
        <v>340</v>
      </c>
      <c r="H26" s="10" t="s">
        <v>53</v>
      </c>
      <c r="I26" s="10" t="s">
        <v>9</v>
      </c>
      <c r="J26" s="10" t="s">
        <v>78</v>
      </c>
      <c r="K26" s="10" t="s">
        <v>79</v>
      </c>
    </row>
    <row r="27" spans="1:11" x14ac:dyDescent="0.3">
      <c r="A27" s="21"/>
      <c r="B27" s="21"/>
      <c r="C27" s="10" t="s">
        <v>491</v>
      </c>
      <c r="D27" s="10">
        <f>SUM(D3:D26)</f>
        <v>10381</v>
      </c>
      <c r="E27" s="10">
        <f>SUM(E3:E25)</f>
        <v>9168</v>
      </c>
      <c r="F27" s="10">
        <f t="shared" ref="F27" si="0">SUM(F3:F26)</f>
        <v>1213</v>
      </c>
      <c r="G27" s="10"/>
      <c r="H27" s="10"/>
      <c r="I27" s="10"/>
      <c r="J27" s="10"/>
      <c r="K27" s="10"/>
    </row>
    <row r="28" spans="1:11" x14ac:dyDescent="0.3">
      <c r="D28" s="12"/>
      <c r="E28" s="12"/>
      <c r="F28" s="12"/>
    </row>
    <row r="29" spans="1:11" x14ac:dyDescent="0.3">
      <c r="E29" t="s">
        <v>518</v>
      </c>
    </row>
  </sheetData>
  <mergeCells count="1">
    <mergeCell ref="A1:K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A0DD5-7049-4FEF-B53C-2C87EAF3DE7F}">
  <dimension ref="A1:K14"/>
  <sheetViews>
    <sheetView workbookViewId="0">
      <selection activeCell="D7" sqref="D7"/>
    </sheetView>
  </sheetViews>
  <sheetFormatPr defaultColWidth="8.77734375" defaultRowHeight="14.4" x14ac:dyDescent="0.3"/>
  <cols>
    <col min="1" max="1" width="4.6640625" style="22" customWidth="1"/>
    <col min="2" max="2" width="21.6640625" style="22" customWidth="1"/>
    <col min="3" max="3" width="20.44140625" style="4" customWidth="1"/>
    <col min="4" max="6" width="15.33203125" customWidth="1"/>
    <col min="7" max="7" width="22.77734375" customWidth="1"/>
    <col min="8" max="8" width="15.77734375" style="4" customWidth="1"/>
    <col min="9" max="9" width="17" customWidth="1"/>
    <col min="10" max="10" width="25.6640625" style="4" customWidth="1"/>
    <col min="11" max="11" width="43.6640625" customWidth="1"/>
  </cols>
  <sheetData>
    <row r="1" spans="1:11" ht="29.55" customHeight="1" x14ac:dyDescent="0.3">
      <c r="A1" s="36" t="s">
        <v>520</v>
      </c>
      <c r="B1" s="37"/>
      <c r="C1" s="37"/>
      <c r="D1" s="37"/>
      <c r="E1" s="37"/>
      <c r="F1" s="37"/>
      <c r="G1" s="37"/>
      <c r="H1" s="37"/>
      <c r="I1" s="37"/>
      <c r="J1" s="37"/>
      <c r="K1" s="38"/>
    </row>
    <row r="2" spans="1:11" ht="28.8" x14ac:dyDescent="0.3">
      <c r="A2" s="16"/>
      <c r="B2" s="16" t="s">
        <v>492</v>
      </c>
      <c r="C2" s="16" t="s">
        <v>0</v>
      </c>
      <c r="D2" s="16" t="s">
        <v>1</v>
      </c>
      <c r="E2" s="16" t="s">
        <v>507</v>
      </c>
      <c r="F2" s="16" t="s">
        <v>508</v>
      </c>
      <c r="G2" s="16" t="s">
        <v>2</v>
      </c>
      <c r="H2" s="16" t="s">
        <v>3</v>
      </c>
      <c r="I2" s="16" t="s">
        <v>4</v>
      </c>
      <c r="J2" s="16" t="s">
        <v>436</v>
      </c>
      <c r="K2" s="16" t="s">
        <v>5</v>
      </c>
    </row>
    <row r="3" spans="1:11" x14ac:dyDescent="0.3">
      <c r="A3" s="20">
        <v>1</v>
      </c>
      <c r="B3" s="2" t="s">
        <v>24</v>
      </c>
      <c r="C3" s="2" t="s">
        <v>24</v>
      </c>
      <c r="D3" s="2">
        <v>20</v>
      </c>
      <c r="E3" s="2">
        <v>20</v>
      </c>
      <c r="F3" s="2">
        <v>0</v>
      </c>
      <c r="G3" s="2" t="s">
        <v>390</v>
      </c>
      <c r="H3" s="2" t="s">
        <v>25</v>
      </c>
      <c r="I3" s="2" t="s">
        <v>17</v>
      </c>
      <c r="J3" s="2" t="s">
        <v>26</v>
      </c>
      <c r="K3" s="7" t="s">
        <v>27</v>
      </c>
    </row>
    <row r="4" spans="1:11" x14ac:dyDescent="0.3">
      <c r="A4" s="20">
        <v>2</v>
      </c>
      <c r="B4" s="2" t="s">
        <v>391</v>
      </c>
      <c r="C4" s="2" t="s">
        <v>391</v>
      </c>
      <c r="D4" s="2">
        <v>25</v>
      </c>
      <c r="E4" s="2">
        <v>25</v>
      </c>
      <c r="F4" s="2">
        <v>0</v>
      </c>
      <c r="G4" s="2" t="s">
        <v>390</v>
      </c>
      <c r="H4" s="2" t="s">
        <v>53</v>
      </c>
      <c r="I4" s="2" t="s">
        <v>17</v>
      </c>
      <c r="J4" s="5" t="s">
        <v>347</v>
      </c>
      <c r="K4" s="7" t="s">
        <v>348</v>
      </c>
    </row>
    <row r="5" spans="1:11" x14ac:dyDescent="0.3">
      <c r="A5" s="20">
        <v>3</v>
      </c>
      <c r="B5" s="5" t="s">
        <v>391</v>
      </c>
      <c r="C5" s="5" t="s">
        <v>325</v>
      </c>
      <c r="D5" s="2">
        <v>73</v>
      </c>
      <c r="E5" s="2">
        <v>73</v>
      </c>
      <c r="F5" s="2">
        <v>0</v>
      </c>
      <c r="G5" s="2" t="s">
        <v>390</v>
      </c>
      <c r="H5" s="2" t="s">
        <v>53</v>
      </c>
      <c r="I5" s="2" t="s">
        <v>17</v>
      </c>
      <c r="J5" s="5" t="s">
        <v>347</v>
      </c>
      <c r="K5" s="7" t="s">
        <v>348</v>
      </c>
    </row>
    <row r="6" spans="1:11" x14ac:dyDescent="0.3">
      <c r="A6" s="20">
        <v>4</v>
      </c>
      <c r="B6" s="2" t="s">
        <v>392</v>
      </c>
      <c r="C6" s="2" t="s">
        <v>392</v>
      </c>
      <c r="D6" s="2">
        <v>310</v>
      </c>
      <c r="E6" s="2">
        <v>310</v>
      </c>
      <c r="F6" s="2">
        <v>0</v>
      </c>
      <c r="G6" s="2" t="s">
        <v>390</v>
      </c>
      <c r="H6" s="2" t="s">
        <v>252</v>
      </c>
      <c r="I6" s="2" t="s">
        <v>17</v>
      </c>
      <c r="J6" s="2" t="s">
        <v>393</v>
      </c>
      <c r="K6" s="7" t="s">
        <v>394</v>
      </c>
    </row>
    <row r="7" spans="1:11" x14ac:dyDescent="0.3">
      <c r="A7" s="20">
        <v>5</v>
      </c>
      <c r="B7" s="2" t="s">
        <v>395</v>
      </c>
      <c r="C7" s="2" t="s">
        <v>395</v>
      </c>
      <c r="D7" s="2">
        <v>40</v>
      </c>
      <c r="E7" s="2">
        <v>23</v>
      </c>
      <c r="F7" s="2">
        <v>17</v>
      </c>
      <c r="G7" s="2" t="s">
        <v>390</v>
      </c>
      <c r="H7" s="2" t="s">
        <v>396</v>
      </c>
      <c r="I7" s="2" t="s">
        <v>9</v>
      </c>
      <c r="J7" s="2" t="s">
        <v>397</v>
      </c>
      <c r="K7" s="7" t="s">
        <v>398</v>
      </c>
    </row>
    <row r="8" spans="1:11" x14ac:dyDescent="0.3">
      <c r="A8" s="20">
        <v>6</v>
      </c>
      <c r="B8" s="2" t="s">
        <v>216</v>
      </c>
      <c r="C8" s="2" t="s">
        <v>216</v>
      </c>
      <c r="D8" s="2">
        <v>38</v>
      </c>
      <c r="E8" s="2">
        <v>20</v>
      </c>
      <c r="F8" s="2">
        <v>18</v>
      </c>
      <c r="G8" s="2" t="s">
        <v>390</v>
      </c>
      <c r="H8" s="2" t="s">
        <v>199</v>
      </c>
      <c r="I8" s="2" t="s">
        <v>17</v>
      </c>
      <c r="J8" s="2" t="s">
        <v>217</v>
      </c>
      <c r="K8" s="7" t="s">
        <v>218</v>
      </c>
    </row>
    <row r="9" spans="1:11" x14ac:dyDescent="0.3">
      <c r="A9" s="20">
        <v>7</v>
      </c>
      <c r="B9" s="2" t="s">
        <v>324</v>
      </c>
      <c r="C9" s="2" t="s">
        <v>324</v>
      </c>
      <c r="D9" s="2">
        <v>24</v>
      </c>
      <c r="E9" s="2">
        <v>11</v>
      </c>
      <c r="F9" s="2">
        <v>13</v>
      </c>
      <c r="G9" s="2" t="s">
        <v>390</v>
      </c>
      <c r="H9" s="2" t="s">
        <v>53</v>
      </c>
      <c r="I9" s="2" t="s">
        <v>9</v>
      </c>
      <c r="J9" s="2" t="s">
        <v>356</v>
      </c>
      <c r="K9" s="7" t="s">
        <v>357</v>
      </c>
    </row>
    <row r="10" spans="1:11" x14ac:dyDescent="0.3">
      <c r="A10" s="20">
        <v>8</v>
      </c>
      <c r="B10" s="2" t="s">
        <v>399</v>
      </c>
      <c r="C10" s="2" t="s">
        <v>399</v>
      </c>
      <c r="D10" s="2">
        <v>113</v>
      </c>
      <c r="E10" s="2">
        <v>35</v>
      </c>
      <c r="F10" s="2">
        <v>78</v>
      </c>
      <c r="G10" s="2" t="s">
        <v>390</v>
      </c>
      <c r="H10" s="2" t="s">
        <v>25</v>
      </c>
      <c r="I10" s="2" t="s">
        <v>17</v>
      </c>
      <c r="J10" s="2" t="s">
        <v>400</v>
      </c>
      <c r="K10" s="7" t="s">
        <v>401</v>
      </c>
    </row>
    <row r="11" spans="1:11" x14ac:dyDescent="0.3">
      <c r="A11" s="20">
        <v>9</v>
      </c>
      <c r="B11" s="2" t="s">
        <v>402</v>
      </c>
      <c r="C11" s="2" t="s">
        <v>402</v>
      </c>
      <c r="D11" s="2">
        <v>153</v>
      </c>
      <c r="E11" s="2">
        <v>91</v>
      </c>
      <c r="F11" s="2">
        <v>62</v>
      </c>
      <c r="G11" s="2" t="s">
        <v>390</v>
      </c>
      <c r="H11" s="2" t="s">
        <v>403</v>
      </c>
      <c r="I11" s="2" t="s">
        <v>9</v>
      </c>
      <c r="J11" s="2" t="s">
        <v>404</v>
      </c>
      <c r="K11" s="7" t="s">
        <v>405</v>
      </c>
    </row>
    <row r="12" spans="1:11" x14ac:dyDescent="0.3">
      <c r="A12" s="20">
        <v>10</v>
      </c>
      <c r="B12" s="2" t="s">
        <v>495</v>
      </c>
      <c r="C12" s="2" t="s">
        <v>406</v>
      </c>
      <c r="D12" s="2">
        <v>1108</v>
      </c>
      <c r="E12" s="2">
        <v>780</v>
      </c>
      <c r="F12" s="2">
        <v>328</v>
      </c>
      <c r="G12" s="2" t="s">
        <v>390</v>
      </c>
      <c r="H12" s="2" t="s">
        <v>53</v>
      </c>
      <c r="I12" s="2" t="s">
        <v>9</v>
      </c>
      <c r="J12" s="2" t="s">
        <v>407</v>
      </c>
      <c r="K12" s="7" t="s">
        <v>115</v>
      </c>
    </row>
    <row r="13" spans="1:11" x14ac:dyDescent="0.3">
      <c r="A13" s="21">
        <v>11</v>
      </c>
      <c r="B13" s="10" t="s">
        <v>408</v>
      </c>
      <c r="C13" s="10" t="s">
        <v>408</v>
      </c>
      <c r="D13" s="10">
        <v>70</v>
      </c>
      <c r="E13" s="10">
        <v>30</v>
      </c>
      <c r="F13" s="10">
        <v>40</v>
      </c>
      <c r="G13" s="10" t="s">
        <v>390</v>
      </c>
      <c r="H13" s="10" t="s">
        <v>385</v>
      </c>
      <c r="I13" s="10" t="s">
        <v>9</v>
      </c>
      <c r="J13" s="10" t="s">
        <v>409</v>
      </c>
      <c r="K13" s="14" t="s">
        <v>410</v>
      </c>
    </row>
    <row r="14" spans="1:11" x14ac:dyDescent="0.3">
      <c r="A14" s="21"/>
      <c r="B14" s="21"/>
      <c r="C14" s="10" t="s">
        <v>491</v>
      </c>
      <c r="D14" s="10">
        <f>SUM(D3:D13)</f>
        <v>1974</v>
      </c>
      <c r="E14" s="10">
        <f t="shared" ref="E14:F14" si="0">SUM(E3:E13)</f>
        <v>1418</v>
      </c>
      <c r="F14" s="10">
        <f t="shared" si="0"/>
        <v>556</v>
      </c>
      <c r="G14" s="10"/>
      <c r="H14" s="10"/>
      <c r="I14" s="10"/>
      <c r="J14" s="10"/>
      <c r="K14" s="14"/>
    </row>
  </sheetData>
  <mergeCells count="1">
    <mergeCell ref="A1:K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3E911-09D4-4BB1-BC7F-2F7ECE32CDCD}">
  <dimension ref="A1:K21"/>
  <sheetViews>
    <sheetView workbookViewId="0">
      <selection activeCell="I10" sqref="I10"/>
    </sheetView>
  </sheetViews>
  <sheetFormatPr defaultColWidth="8.77734375" defaultRowHeight="14.4" x14ac:dyDescent="0.3"/>
  <cols>
    <col min="1" max="1" width="4.77734375" customWidth="1"/>
    <col min="2" max="2" width="22" customWidth="1"/>
    <col min="3" max="3" width="23.109375" style="4" customWidth="1"/>
    <col min="4" max="6" width="14.6640625" customWidth="1"/>
    <col min="7" max="7" width="23.6640625" customWidth="1"/>
    <col min="8" max="8" width="15.109375" style="4" customWidth="1"/>
    <col min="9" max="9" width="14.6640625" customWidth="1"/>
    <col min="10" max="10" width="20.6640625" style="4" customWidth="1"/>
    <col min="11" max="11" width="47" customWidth="1"/>
  </cols>
  <sheetData>
    <row r="1" spans="1:11" ht="33" customHeight="1" x14ac:dyDescent="0.3">
      <c r="A1" s="35" t="s">
        <v>521</v>
      </c>
      <c r="B1" s="35"/>
      <c r="C1" s="35"/>
      <c r="D1" s="35"/>
      <c r="E1" s="35"/>
      <c r="F1" s="35"/>
      <c r="G1" s="35"/>
      <c r="H1" s="35"/>
      <c r="I1" s="35"/>
      <c r="J1" s="35"/>
      <c r="K1" s="39"/>
    </row>
    <row r="2" spans="1:11" ht="28.8" x14ac:dyDescent="0.3">
      <c r="A2" s="16"/>
      <c r="B2" s="16" t="s">
        <v>492</v>
      </c>
      <c r="C2" s="16" t="s">
        <v>0</v>
      </c>
      <c r="D2" s="16" t="s">
        <v>1</v>
      </c>
      <c r="E2" s="16" t="s">
        <v>507</v>
      </c>
      <c r="F2" s="16" t="s">
        <v>508</v>
      </c>
      <c r="G2" s="16" t="s">
        <v>2</v>
      </c>
      <c r="H2" s="16" t="s">
        <v>3</v>
      </c>
      <c r="I2" s="16" t="s">
        <v>4</v>
      </c>
      <c r="J2" s="16" t="s">
        <v>436</v>
      </c>
      <c r="K2" s="16" t="s">
        <v>5</v>
      </c>
    </row>
    <row r="3" spans="1:11" x14ac:dyDescent="0.3">
      <c r="A3" s="13">
        <v>1</v>
      </c>
      <c r="B3" s="2" t="s">
        <v>503</v>
      </c>
      <c r="C3" s="2" t="s">
        <v>376</v>
      </c>
      <c r="D3" s="2">
        <v>12</v>
      </c>
      <c r="E3" s="2">
        <v>12</v>
      </c>
      <c r="F3" s="2">
        <v>0</v>
      </c>
      <c r="G3" s="2" t="s">
        <v>411</v>
      </c>
      <c r="H3" s="2" t="s">
        <v>53</v>
      </c>
      <c r="I3" s="2" t="s">
        <v>9</v>
      </c>
      <c r="J3" s="2" t="s">
        <v>381</v>
      </c>
      <c r="K3" s="7" t="s">
        <v>382</v>
      </c>
    </row>
    <row r="4" spans="1:11" x14ac:dyDescent="0.3">
      <c r="A4" s="13">
        <v>2</v>
      </c>
      <c r="B4" s="2" t="s">
        <v>24</v>
      </c>
      <c r="C4" s="2" t="s">
        <v>24</v>
      </c>
      <c r="D4" s="2">
        <v>20</v>
      </c>
      <c r="E4" s="2">
        <v>20</v>
      </c>
      <c r="F4" s="2">
        <v>0</v>
      </c>
      <c r="G4" s="2" t="s">
        <v>411</v>
      </c>
      <c r="H4" s="2" t="s">
        <v>25</v>
      </c>
      <c r="I4" s="2" t="s">
        <v>17</v>
      </c>
      <c r="J4" s="2" t="s">
        <v>26</v>
      </c>
      <c r="K4" s="7" t="s">
        <v>27</v>
      </c>
    </row>
    <row r="5" spans="1:11" x14ac:dyDescent="0.3">
      <c r="A5" s="13">
        <v>3</v>
      </c>
      <c r="B5" s="2" t="s">
        <v>412</v>
      </c>
      <c r="C5" s="2" t="s">
        <v>412</v>
      </c>
      <c r="D5" s="2">
        <v>24</v>
      </c>
      <c r="E5" s="2">
        <v>24</v>
      </c>
      <c r="F5" s="2">
        <v>0</v>
      </c>
      <c r="G5" s="2" t="s">
        <v>411</v>
      </c>
      <c r="H5" s="2" t="s">
        <v>25</v>
      </c>
      <c r="I5" s="2" t="s">
        <v>17</v>
      </c>
      <c r="J5" s="2" t="s">
        <v>413</v>
      </c>
      <c r="K5" s="7" t="s">
        <v>414</v>
      </c>
    </row>
    <row r="6" spans="1:11" x14ac:dyDescent="0.3">
      <c r="A6" s="13">
        <v>4</v>
      </c>
      <c r="B6" s="2" t="s">
        <v>415</v>
      </c>
      <c r="C6" s="2" t="s">
        <v>415</v>
      </c>
      <c r="D6" s="2">
        <v>895</v>
      </c>
      <c r="E6" s="2">
        <v>895</v>
      </c>
      <c r="F6" s="2">
        <v>0</v>
      </c>
      <c r="G6" s="2" t="s">
        <v>411</v>
      </c>
      <c r="H6" s="2" t="s">
        <v>53</v>
      </c>
      <c r="I6" s="2" t="s">
        <v>9</v>
      </c>
      <c r="J6" s="2" t="s">
        <v>416</v>
      </c>
      <c r="K6" s="7" t="s">
        <v>417</v>
      </c>
    </row>
    <row r="7" spans="1:11" x14ac:dyDescent="0.3">
      <c r="A7" s="13">
        <v>5</v>
      </c>
      <c r="B7" s="2" t="s">
        <v>326</v>
      </c>
      <c r="C7" s="2" t="s">
        <v>326</v>
      </c>
      <c r="D7" s="2">
        <v>142</v>
      </c>
      <c r="E7" s="2">
        <v>142</v>
      </c>
      <c r="F7" s="2">
        <v>0</v>
      </c>
      <c r="G7" s="2" t="s">
        <v>411</v>
      </c>
      <c r="H7" s="2" t="s">
        <v>53</v>
      </c>
      <c r="I7" s="2" t="s">
        <v>17</v>
      </c>
      <c r="J7" s="2"/>
      <c r="K7" s="7" t="s">
        <v>349</v>
      </c>
    </row>
    <row r="8" spans="1:11" x14ac:dyDescent="0.3">
      <c r="A8" s="13">
        <v>6</v>
      </c>
      <c r="B8" s="2" t="s">
        <v>418</v>
      </c>
      <c r="C8" s="2" t="s">
        <v>418</v>
      </c>
      <c r="D8" s="2">
        <v>23</v>
      </c>
      <c r="E8" s="2">
        <v>23</v>
      </c>
      <c r="F8" s="2">
        <v>0</v>
      </c>
      <c r="G8" s="2" t="s">
        <v>411</v>
      </c>
      <c r="H8" s="2" t="s">
        <v>419</v>
      </c>
      <c r="I8" s="2" t="s">
        <v>9</v>
      </c>
      <c r="J8" s="2" t="s">
        <v>420</v>
      </c>
      <c r="K8" s="7" t="s">
        <v>421</v>
      </c>
    </row>
    <row r="9" spans="1:11" x14ac:dyDescent="0.3">
      <c r="A9" s="13">
        <v>7</v>
      </c>
      <c r="B9" s="2" t="s">
        <v>418</v>
      </c>
      <c r="C9" s="2" t="s">
        <v>422</v>
      </c>
      <c r="D9" s="2">
        <v>29</v>
      </c>
      <c r="E9" s="2">
        <v>29</v>
      </c>
      <c r="F9" s="2">
        <v>0</v>
      </c>
      <c r="G9" s="2" t="s">
        <v>411</v>
      </c>
      <c r="H9" s="2" t="s">
        <v>419</v>
      </c>
      <c r="I9" s="2" t="s">
        <v>9</v>
      </c>
      <c r="J9" s="2" t="s">
        <v>420</v>
      </c>
      <c r="K9" s="7" t="s">
        <v>421</v>
      </c>
    </row>
    <row r="10" spans="1:11" x14ac:dyDescent="0.3">
      <c r="A10" s="13">
        <v>8</v>
      </c>
      <c r="B10" s="2" t="s">
        <v>423</v>
      </c>
      <c r="C10" s="2" t="s">
        <v>423</v>
      </c>
      <c r="D10" s="2">
        <v>125</v>
      </c>
      <c r="E10" s="2">
        <v>125</v>
      </c>
      <c r="F10" s="2">
        <v>0</v>
      </c>
      <c r="G10" s="2" t="s">
        <v>411</v>
      </c>
      <c r="H10" s="2" t="s">
        <v>53</v>
      </c>
      <c r="I10" s="2" t="s">
        <v>17</v>
      </c>
      <c r="J10" s="2" t="s">
        <v>424</v>
      </c>
      <c r="K10" s="7" t="s">
        <v>425</v>
      </c>
    </row>
    <row r="11" spans="1:11" x14ac:dyDescent="0.3">
      <c r="A11" s="13">
        <v>9</v>
      </c>
      <c r="B11" s="2" t="s">
        <v>117</v>
      </c>
      <c r="C11" s="2" t="s">
        <v>117</v>
      </c>
      <c r="D11" s="2">
        <v>38</v>
      </c>
      <c r="E11" s="2">
        <v>38</v>
      </c>
      <c r="F11" s="2">
        <v>0</v>
      </c>
      <c r="G11" s="2" t="s">
        <v>411</v>
      </c>
      <c r="H11" s="2" t="s">
        <v>118</v>
      </c>
      <c r="I11" s="2" t="s">
        <v>9</v>
      </c>
      <c r="J11" s="2" t="s">
        <v>119</v>
      </c>
      <c r="K11" s="7" t="s">
        <v>120</v>
      </c>
    </row>
    <row r="12" spans="1:11" x14ac:dyDescent="0.3">
      <c r="A12" s="13">
        <v>10</v>
      </c>
      <c r="B12" s="2" t="s">
        <v>502</v>
      </c>
      <c r="C12" s="2" t="s">
        <v>334</v>
      </c>
      <c r="D12" s="2">
        <v>40</v>
      </c>
      <c r="E12" s="2">
        <v>40</v>
      </c>
      <c r="F12" s="2">
        <v>0</v>
      </c>
      <c r="G12" s="2" t="s">
        <v>411</v>
      </c>
      <c r="H12" s="2" t="s">
        <v>53</v>
      </c>
      <c r="I12" s="2" t="s">
        <v>9</v>
      </c>
      <c r="J12" s="2" t="s">
        <v>352</v>
      </c>
      <c r="K12" s="7" t="s">
        <v>353</v>
      </c>
    </row>
    <row r="13" spans="1:11" x14ac:dyDescent="0.3">
      <c r="A13" s="13">
        <v>11</v>
      </c>
      <c r="B13" s="2" t="s">
        <v>502</v>
      </c>
      <c r="C13" s="2" t="s">
        <v>335</v>
      </c>
      <c r="D13" s="2">
        <v>36</v>
      </c>
      <c r="E13" s="2">
        <v>36</v>
      </c>
      <c r="F13" s="2">
        <v>0</v>
      </c>
      <c r="G13" s="2" t="s">
        <v>411</v>
      </c>
      <c r="H13" s="2" t="s">
        <v>53</v>
      </c>
      <c r="I13" s="2" t="s">
        <v>17</v>
      </c>
      <c r="J13" s="2" t="s">
        <v>352</v>
      </c>
      <c r="K13" s="7" t="s">
        <v>353</v>
      </c>
    </row>
    <row r="14" spans="1:11" x14ac:dyDescent="0.3">
      <c r="A14" s="13">
        <v>12</v>
      </c>
      <c r="B14" s="2" t="s">
        <v>426</v>
      </c>
      <c r="C14" s="2" t="s">
        <v>426</v>
      </c>
      <c r="D14" s="2">
        <v>20</v>
      </c>
      <c r="E14" s="2">
        <v>20</v>
      </c>
      <c r="F14" s="2">
        <v>0</v>
      </c>
      <c r="G14" s="2" t="s">
        <v>411</v>
      </c>
      <c r="H14" s="2" t="s">
        <v>427</v>
      </c>
      <c r="I14" s="2" t="s">
        <v>9</v>
      </c>
      <c r="J14" s="2" t="s">
        <v>428</v>
      </c>
      <c r="K14" s="7" t="s">
        <v>429</v>
      </c>
    </row>
    <row r="15" spans="1:11" x14ac:dyDescent="0.3">
      <c r="A15" s="13">
        <v>13</v>
      </c>
      <c r="B15" s="2" t="s">
        <v>181</v>
      </c>
      <c r="C15" s="2" t="s">
        <v>181</v>
      </c>
      <c r="D15" s="2">
        <v>38</v>
      </c>
      <c r="E15" s="2">
        <v>38</v>
      </c>
      <c r="F15" s="2">
        <v>0</v>
      </c>
      <c r="G15" s="2" t="s">
        <v>411</v>
      </c>
      <c r="H15" s="2" t="s">
        <v>53</v>
      </c>
      <c r="I15" s="2" t="s">
        <v>9</v>
      </c>
      <c r="J15" s="2" t="s">
        <v>182</v>
      </c>
      <c r="K15" s="7" t="s">
        <v>183</v>
      </c>
    </row>
    <row r="16" spans="1:11" x14ac:dyDescent="0.3">
      <c r="A16" s="13">
        <v>14</v>
      </c>
      <c r="B16" s="2" t="s">
        <v>181</v>
      </c>
      <c r="C16" s="2" t="s">
        <v>184</v>
      </c>
      <c r="D16" s="2">
        <v>41</v>
      </c>
      <c r="E16" s="2">
        <v>41</v>
      </c>
      <c r="F16" s="2">
        <v>0</v>
      </c>
      <c r="G16" s="2" t="s">
        <v>411</v>
      </c>
      <c r="H16" s="2" t="s">
        <v>53</v>
      </c>
      <c r="I16" s="2" t="s">
        <v>9</v>
      </c>
      <c r="J16" s="2" t="s">
        <v>182</v>
      </c>
      <c r="K16" s="7" t="s">
        <v>183</v>
      </c>
    </row>
    <row r="17" spans="1:11" x14ac:dyDescent="0.3">
      <c r="A17" s="13">
        <v>15</v>
      </c>
      <c r="B17" s="2" t="s">
        <v>216</v>
      </c>
      <c r="C17" s="2" t="s">
        <v>216</v>
      </c>
      <c r="D17" s="2">
        <v>36</v>
      </c>
      <c r="E17" s="2">
        <v>16</v>
      </c>
      <c r="F17" s="2">
        <v>20</v>
      </c>
      <c r="G17" s="2" t="s">
        <v>411</v>
      </c>
      <c r="H17" s="2" t="s">
        <v>199</v>
      </c>
      <c r="I17" s="2" t="s">
        <v>17</v>
      </c>
      <c r="J17" s="2" t="s">
        <v>217</v>
      </c>
      <c r="K17" s="7" t="s">
        <v>218</v>
      </c>
    </row>
    <row r="18" spans="1:11" x14ac:dyDescent="0.3">
      <c r="A18" s="13">
        <v>16</v>
      </c>
      <c r="B18" s="2" t="s">
        <v>324</v>
      </c>
      <c r="C18" s="2" t="s">
        <v>324</v>
      </c>
      <c r="D18" s="2">
        <v>24</v>
      </c>
      <c r="E18" s="2">
        <v>11</v>
      </c>
      <c r="F18" s="2">
        <v>13</v>
      </c>
      <c r="G18" s="2" t="s">
        <v>411</v>
      </c>
      <c r="H18" s="2" t="s">
        <v>53</v>
      </c>
      <c r="I18" s="2" t="s">
        <v>9</v>
      </c>
      <c r="J18" s="2" t="s">
        <v>356</v>
      </c>
      <c r="K18" s="7" t="s">
        <v>357</v>
      </c>
    </row>
    <row r="19" spans="1:11" x14ac:dyDescent="0.3">
      <c r="A19" s="13">
        <v>17</v>
      </c>
      <c r="B19" s="2" t="s">
        <v>430</v>
      </c>
      <c r="C19" s="2" t="s">
        <v>430</v>
      </c>
      <c r="D19" s="2">
        <v>100</v>
      </c>
      <c r="E19" s="2">
        <v>50</v>
      </c>
      <c r="F19" s="2">
        <v>50</v>
      </c>
      <c r="G19" s="2" t="s">
        <v>411</v>
      </c>
      <c r="H19" s="2" t="s">
        <v>8</v>
      </c>
      <c r="I19" s="2" t="s">
        <v>9</v>
      </c>
      <c r="J19" s="2" t="s">
        <v>431</v>
      </c>
      <c r="K19" s="7" t="s">
        <v>432</v>
      </c>
    </row>
    <row r="20" spans="1:11" x14ac:dyDescent="0.3">
      <c r="A20" s="11">
        <v>18</v>
      </c>
      <c r="B20" s="10" t="s">
        <v>433</v>
      </c>
      <c r="C20" s="10" t="s">
        <v>433</v>
      </c>
      <c r="D20" s="10">
        <v>50</v>
      </c>
      <c r="E20" s="10">
        <v>10</v>
      </c>
      <c r="F20" s="10">
        <v>40</v>
      </c>
      <c r="G20" s="10" t="s">
        <v>411</v>
      </c>
      <c r="H20" s="10" t="s">
        <v>36</v>
      </c>
      <c r="I20" s="10" t="s">
        <v>9</v>
      </c>
      <c r="J20" s="10" t="s">
        <v>434</v>
      </c>
      <c r="K20" s="14" t="s">
        <v>435</v>
      </c>
    </row>
    <row r="21" spans="1:11" x14ac:dyDescent="0.3">
      <c r="A21" s="11"/>
      <c r="B21" s="11"/>
      <c r="C21" s="10" t="s">
        <v>491</v>
      </c>
      <c r="D21" s="10">
        <f>SUM(D3:D20)</f>
        <v>1693</v>
      </c>
      <c r="E21" s="10">
        <f t="shared" ref="E21:F21" si="0">SUM(E3:E20)</f>
        <v>1570</v>
      </c>
      <c r="F21" s="10">
        <f t="shared" si="0"/>
        <v>123</v>
      </c>
      <c r="G21" s="10"/>
      <c r="H21" s="10"/>
      <c r="I21" s="10"/>
      <c r="J21" s="10"/>
      <c r="K21" s="14"/>
    </row>
  </sheetData>
  <mergeCells count="1">
    <mergeCell ref="A1:K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38DD0-121E-455E-B3D5-875B7BEC6613}">
  <dimension ref="A1:K16"/>
  <sheetViews>
    <sheetView workbookViewId="0">
      <selection activeCell="E13" sqref="E13"/>
    </sheetView>
  </sheetViews>
  <sheetFormatPr defaultColWidth="8.77734375" defaultRowHeight="14.4" x14ac:dyDescent="0.3"/>
  <cols>
    <col min="1" max="1" width="4.77734375" customWidth="1"/>
    <col min="2" max="2" width="22.109375" customWidth="1"/>
    <col min="3" max="3" width="22.44140625" style="4" customWidth="1"/>
    <col min="4" max="6" width="15.44140625" customWidth="1"/>
    <col min="7" max="7" width="34.77734375" customWidth="1"/>
    <col min="8" max="8" width="14.109375" style="4" customWidth="1"/>
    <col min="9" max="9" width="17.33203125" customWidth="1"/>
    <col min="10" max="10" width="20.109375" style="4" customWidth="1"/>
    <col min="11" max="11" width="43.77734375" customWidth="1"/>
  </cols>
  <sheetData>
    <row r="1" spans="1:11" ht="36" customHeight="1" x14ac:dyDescent="0.3">
      <c r="A1" s="35" t="s">
        <v>519</v>
      </c>
      <c r="B1" s="35"/>
      <c r="C1" s="35"/>
      <c r="D1" s="35"/>
      <c r="E1" s="35"/>
      <c r="F1" s="35"/>
      <c r="G1" s="35"/>
      <c r="H1" s="35"/>
      <c r="I1" s="35"/>
      <c r="J1" s="35"/>
      <c r="K1" s="35"/>
    </row>
    <row r="2" spans="1:11" ht="28.8" x14ac:dyDescent="0.3">
      <c r="A2" s="15"/>
      <c r="B2" s="16" t="s">
        <v>492</v>
      </c>
      <c r="C2" s="16" t="s">
        <v>0</v>
      </c>
      <c r="D2" s="16" t="s">
        <v>1</v>
      </c>
      <c r="E2" s="16" t="s">
        <v>507</v>
      </c>
      <c r="F2" s="16" t="s">
        <v>508</v>
      </c>
      <c r="G2" s="16" t="s">
        <v>2</v>
      </c>
      <c r="H2" s="16" t="s">
        <v>3</v>
      </c>
      <c r="I2" s="16" t="s">
        <v>4</v>
      </c>
      <c r="J2" s="16" t="s">
        <v>436</v>
      </c>
      <c r="K2" s="16" t="s">
        <v>5</v>
      </c>
    </row>
    <row r="3" spans="1:11" x14ac:dyDescent="0.3">
      <c r="A3" s="13">
        <v>1</v>
      </c>
      <c r="B3" s="2" t="s">
        <v>503</v>
      </c>
      <c r="C3" s="2" t="s">
        <v>376</v>
      </c>
      <c r="D3" s="2">
        <v>12</v>
      </c>
      <c r="E3" s="2">
        <v>12</v>
      </c>
      <c r="F3" s="2">
        <v>0</v>
      </c>
      <c r="G3" s="5" t="s">
        <v>380</v>
      </c>
      <c r="H3" s="2" t="s">
        <v>53</v>
      </c>
      <c r="I3" s="2" t="s">
        <v>9</v>
      </c>
      <c r="J3" s="2" t="s">
        <v>381</v>
      </c>
      <c r="K3" s="7" t="s">
        <v>382</v>
      </c>
    </row>
    <row r="4" spans="1:11" x14ac:dyDescent="0.3">
      <c r="A4" s="13">
        <v>2</v>
      </c>
      <c r="B4" s="2" t="s">
        <v>377</v>
      </c>
      <c r="C4" s="2" t="s">
        <v>377</v>
      </c>
      <c r="D4" s="2">
        <v>195</v>
      </c>
      <c r="E4" s="2">
        <v>195</v>
      </c>
      <c r="F4" s="2">
        <v>0</v>
      </c>
      <c r="G4" s="5" t="s">
        <v>380</v>
      </c>
      <c r="H4" s="2" t="s">
        <v>53</v>
      </c>
      <c r="I4" s="2" t="s">
        <v>9</v>
      </c>
      <c r="J4" s="2" t="s">
        <v>383</v>
      </c>
      <c r="K4" s="7" t="s">
        <v>384</v>
      </c>
    </row>
    <row r="5" spans="1:11" x14ac:dyDescent="0.3">
      <c r="A5" s="13">
        <v>3</v>
      </c>
      <c r="B5" s="2" t="s">
        <v>24</v>
      </c>
      <c r="C5" s="2" t="s">
        <v>24</v>
      </c>
      <c r="D5" s="2">
        <v>40</v>
      </c>
      <c r="E5" s="2">
        <v>40</v>
      </c>
      <c r="F5" s="2">
        <v>0</v>
      </c>
      <c r="G5" s="5" t="s">
        <v>380</v>
      </c>
      <c r="H5" s="2" t="s">
        <v>25</v>
      </c>
      <c r="I5" s="2" t="s">
        <v>17</v>
      </c>
      <c r="J5" s="2" t="s">
        <v>26</v>
      </c>
      <c r="K5" s="7" t="s">
        <v>27</v>
      </c>
    </row>
    <row r="6" spans="1:11" x14ac:dyDescent="0.3">
      <c r="A6" s="13">
        <v>4</v>
      </c>
      <c r="B6" s="2" t="s">
        <v>326</v>
      </c>
      <c r="C6" s="2" t="s">
        <v>326</v>
      </c>
      <c r="D6" s="2">
        <v>120</v>
      </c>
      <c r="E6" s="2">
        <v>120</v>
      </c>
      <c r="F6" s="2">
        <v>0</v>
      </c>
      <c r="G6" s="5" t="s">
        <v>380</v>
      </c>
      <c r="H6" s="2" t="s">
        <v>53</v>
      </c>
      <c r="I6" s="2" t="s">
        <v>17</v>
      </c>
      <c r="J6" s="2"/>
      <c r="K6" s="7" t="s">
        <v>349</v>
      </c>
    </row>
    <row r="7" spans="1:11" x14ac:dyDescent="0.3">
      <c r="A7" s="13">
        <v>5</v>
      </c>
      <c r="B7" s="2" t="s">
        <v>309</v>
      </c>
      <c r="C7" s="2" t="s">
        <v>77</v>
      </c>
      <c r="D7" s="2">
        <v>20</v>
      </c>
      <c r="E7" s="2">
        <v>20</v>
      </c>
      <c r="F7" s="2">
        <v>0</v>
      </c>
      <c r="G7" s="5" t="s">
        <v>380</v>
      </c>
      <c r="H7" s="2" t="s">
        <v>53</v>
      </c>
      <c r="I7" s="2" t="s">
        <v>9</v>
      </c>
      <c r="J7" s="2" t="s">
        <v>78</v>
      </c>
      <c r="K7" s="7" t="s">
        <v>79</v>
      </c>
    </row>
    <row r="8" spans="1:11" x14ac:dyDescent="0.3">
      <c r="A8" s="13">
        <v>6</v>
      </c>
      <c r="B8" s="2" t="s">
        <v>496</v>
      </c>
      <c r="C8" s="2" t="s">
        <v>143</v>
      </c>
      <c r="D8" s="2">
        <v>10</v>
      </c>
      <c r="E8" s="2">
        <v>10</v>
      </c>
      <c r="F8" s="2">
        <v>0</v>
      </c>
      <c r="G8" s="5" t="s">
        <v>380</v>
      </c>
      <c r="H8" s="2" t="s">
        <v>53</v>
      </c>
      <c r="I8" s="2" t="s">
        <v>9</v>
      </c>
      <c r="J8" s="2" t="s">
        <v>144</v>
      </c>
      <c r="K8" s="7" t="s">
        <v>145</v>
      </c>
    </row>
    <row r="9" spans="1:11" x14ac:dyDescent="0.3">
      <c r="A9" s="13">
        <v>7</v>
      </c>
      <c r="B9" s="2" t="s">
        <v>504</v>
      </c>
      <c r="C9" s="2" t="s">
        <v>378</v>
      </c>
      <c r="D9" s="2">
        <v>19</v>
      </c>
      <c r="E9" s="2">
        <v>19</v>
      </c>
      <c r="F9" s="2">
        <v>0</v>
      </c>
      <c r="G9" s="5" t="s">
        <v>380</v>
      </c>
      <c r="H9" s="2" t="s">
        <v>385</v>
      </c>
      <c r="I9" s="2" t="s">
        <v>9</v>
      </c>
      <c r="J9" s="2" t="s">
        <v>386</v>
      </c>
      <c r="K9" s="7" t="s">
        <v>387</v>
      </c>
    </row>
    <row r="10" spans="1:11" x14ac:dyDescent="0.3">
      <c r="A10" s="13">
        <v>8</v>
      </c>
      <c r="B10" s="2" t="s">
        <v>181</v>
      </c>
      <c r="C10" s="2" t="s">
        <v>181</v>
      </c>
      <c r="D10" s="2">
        <v>30</v>
      </c>
      <c r="E10" s="2">
        <v>30</v>
      </c>
      <c r="F10" s="2">
        <v>0</v>
      </c>
      <c r="G10" s="5" t="s">
        <v>380</v>
      </c>
      <c r="H10" s="2" t="s">
        <v>53</v>
      </c>
      <c r="I10" s="2" t="s">
        <v>9</v>
      </c>
      <c r="J10" s="2" t="s">
        <v>182</v>
      </c>
      <c r="K10" s="7" t="s">
        <v>183</v>
      </c>
    </row>
    <row r="11" spans="1:11" x14ac:dyDescent="0.3">
      <c r="A11" s="13">
        <v>9</v>
      </c>
      <c r="B11" s="2" t="s">
        <v>181</v>
      </c>
      <c r="C11" s="2" t="s">
        <v>184</v>
      </c>
      <c r="D11" s="2">
        <v>41</v>
      </c>
      <c r="E11" s="2">
        <v>41</v>
      </c>
      <c r="F11" s="2">
        <v>0</v>
      </c>
      <c r="G11" s="5" t="s">
        <v>380</v>
      </c>
      <c r="H11" s="2" t="s">
        <v>53</v>
      </c>
      <c r="I11" s="2" t="s">
        <v>9</v>
      </c>
      <c r="J11" s="2" t="s">
        <v>182</v>
      </c>
      <c r="K11" s="7" t="s">
        <v>183</v>
      </c>
    </row>
    <row r="12" spans="1:11" x14ac:dyDescent="0.3">
      <c r="A12" s="13">
        <v>10</v>
      </c>
      <c r="B12" s="2" t="s">
        <v>379</v>
      </c>
      <c r="C12" s="2" t="s">
        <v>379</v>
      </c>
      <c r="D12" s="2">
        <v>175</v>
      </c>
      <c r="E12" s="2">
        <v>34</v>
      </c>
      <c r="F12" s="2">
        <v>141</v>
      </c>
      <c r="G12" s="5" t="s">
        <v>380</v>
      </c>
      <c r="H12" s="2" t="s">
        <v>341</v>
      </c>
      <c r="I12" s="2" t="s">
        <v>9</v>
      </c>
      <c r="J12" s="2" t="s">
        <v>388</v>
      </c>
      <c r="K12" s="7" t="s">
        <v>389</v>
      </c>
    </row>
    <row r="13" spans="1:11" x14ac:dyDescent="0.3">
      <c r="A13" s="13">
        <v>11</v>
      </c>
      <c r="B13" s="2" t="s">
        <v>309</v>
      </c>
      <c r="C13" s="2" t="s">
        <v>309</v>
      </c>
      <c r="D13" s="2">
        <v>80</v>
      </c>
      <c r="E13" s="2" t="s">
        <v>517</v>
      </c>
      <c r="F13" s="2">
        <v>80</v>
      </c>
      <c r="G13" s="5" t="s">
        <v>380</v>
      </c>
      <c r="H13" s="2" t="s">
        <v>53</v>
      </c>
      <c r="I13" s="2" t="s">
        <v>9</v>
      </c>
      <c r="J13" s="2" t="s">
        <v>78</v>
      </c>
      <c r="K13" s="7" t="s">
        <v>79</v>
      </c>
    </row>
    <row r="14" spans="1:11" x14ac:dyDescent="0.3">
      <c r="A14" s="11"/>
      <c r="B14" s="11"/>
      <c r="C14" s="10" t="s">
        <v>491</v>
      </c>
      <c r="D14" s="10">
        <f>SUM(D3:D13)</f>
        <v>742</v>
      </c>
      <c r="E14" s="10">
        <f>SUM(E3:E12)</f>
        <v>521</v>
      </c>
      <c r="F14" s="10">
        <f t="shared" ref="F14" si="0">SUM(F3:F13)</f>
        <v>221</v>
      </c>
      <c r="G14" s="26"/>
      <c r="H14" s="10"/>
      <c r="I14" s="10"/>
      <c r="J14" s="10"/>
      <c r="K14" s="14"/>
    </row>
    <row r="16" spans="1:11" x14ac:dyDescent="0.3">
      <c r="E16" t="s">
        <v>518</v>
      </c>
    </row>
  </sheetData>
  <mergeCells count="1">
    <mergeCell ref="A1:K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323B8-50A7-4966-B9A5-9565023C0835}">
  <dimension ref="A1:M22"/>
  <sheetViews>
    <sheetView topLeftCell="B1" workbookViewId="0">
      <selection activeCell="H31" sqref="H31"/>
    </sheetView>
  </sheetViews>
  <sheetFormatPr defaultColWidth="8.77734375" defaultRowHeight="14.4" x14ac:dyDescent="0.3"/>
  <cols>
    <col min="1" max="1" width="5.109375" customWidth="1"/>
    <col min="2" max="2" width="21.77734375" customWidth="1"/>
    <col min="3" max="3" width="19.44140625" style="4" customWidth="1"/>
    <col min="4" max="7" width="14.77734375" customWidth="1"/>
    <col min="8" max="8" width="44.33203125" bestFit="1" customWidth="1"/>
    <col min="9" max="9" width="28.6640625" customWidth="1"/>
    <col min="10" max="10" width="14.109375" style="4" customWidth="1"/>
    <col min="11" max="11" width="16" customWidth="1"/>
    <col min="12" max="12" width="22.33203125" style="23" customWidth="1"/>
    <col min="13" max="13" width="40.44140625" customWidth="1"/>
  </cols>
  <sheetData>
    <row r="1" spans="1:13" ht="35.549999999999997" customHeight="1" x14ac:dyDescent="0.3">
      <c r="A1" s="34" t="s">
        <v>490</v>
      </c>
      <c r="B1" s="35"/>
      <c r="C1" s="35"/>
      <c r="D1" s="35"/>
      <c r="E1" s="35"/>
      <c r="F1" s="35"/>
      <c r="G1" s="35"/>
      <c r="H1" s="35"/>
      <c r="I1" s="35"/>
      <c r="J1" s="35"/>
      <c r="K1" s="35"/>
      <c r="L1" s="35"/>
      <c r="M1" s="35"/>
    </row>
    <row r="2" spans="1:13" s="3" customFormat="1" ht="34.799999999999997" customHeight="1" x14ac:dyDescent="0.3">
      <c r="A2" s="15"/>
      <c r="B2" s="16" t="s">
        <v>492</v>
      </c>
      <c r="C2" s="16" t="s">
        <v>0</v>
      </c>
      <c r="D2" s="16" t="s">
        <v>1</v>
      </c>
      <c r="E2" s="16" t="s">
        <v>507</v>
      </c>
      <c r="F2" s="16" t="s">
        <v>508</v>
      </c>
      <c r="G2" s="16" t="s">
        <v>522</v>
      </c>
      <c r="H2" s="16" t="s">
        <v>538</v>
      </c>
      <c r="I2" s="16" t="s">
        <v>2</v>
      </c>
      <c r="J2" s="16" t="s">
        <v>3</v>
      </c>
      <c r="K2" s="16" t="s">
        <v>4</v>
      </c>
      <c r="L2" s="16" t="s">
        <v>436</v>
      </c>
      <c r="M2" s="16" t="s">
        <v>5</v>
      </c>
    </row>
    <row r="3" spans="1:13" x14ac:dyDescent="0.3">
      <c r="A3" s="8">
        <v>1</v>
      </c>
      <c r="B3" s="17" t="s">
        <v>444</v>
      </c>
      <c r="C3" s="17" t="s">
        <v>444</v>
      </c>
      <c r="D3" s="17">
        <v>75</v>
      </c>
      <c r="E3" s="17">
        <v>27</v>
      </c>
      <c r="F3" s="17">
        <v>48</v>
      </c>
      <c r="G3" s="17">
        <v>0</v>
      </c>
      <c r="H3" s="33" t="s">
        <v>523</v>
      </c>
      <c r="I3" s="17" t="s">
        <v>7</v>
      </c>
      <c r="J3" s="17" t="s">
        <v>36</v>
      </c>
      <c r="K3" s="17" t="s">
        <v>9</v>
      </c>
      <c r="L3" s="17" t="s">
        <v>460</v>
      </c>
      <c r="M3" s="18" t="s">
        <v>461</v>
      </c>
    </row>
    <row r="4" spans="1:13" x14ac:dyDescent="0.3">
      <c r="A4" s="8">
        <v>2</v>
      </c>
      <c r="B4" s="17" t="s">
        <v>445</v>
      </c>
      <c r="C4" s="17" t="s">
        <v>445</v>
      </c>
      <c r="D4" s="17">
        <v>206</v>
      </c>
      <c r="E4" s="17">
        <v>102</v>
      </c>
      <c r="F4" s="17">
        <v>104</v>
      </c>
      <c r="G4" s="17">
        <v>0</v>
      </c>
      <c r="H4" s="17" t="s">
        <v>524</v>
      </c>
      <c r="I4" s="17" t="s">
        <v>7</v>
      </c>
      <c r="J4" s="17" t="s">
        <v>36</v>
      </c>
      <c r="K4" s="17" t="s">
        <v>9</v>
      </c>
      <c r="L4" s="17" t="s">
        <v>462</v>
      </c>
      <c r="M4" s="18" t="s">
        <v>463</v>
      </c>
    </row>
    <row r="5" spans="1:13" x14ac:dyDescent="0.3">
      <c r="A5" s="8">
        <v>3</v>
      </c>
      <c r="B5" s="17" t="s">
        <v>446</v>
      </c>
      <c r="C5" s="17" t="s">
        <v>446</v>
      </c>
      <c r="D5" s="17">
        <v>98</v>
      </c>
      <c r="E5" s="17">
        <v>54</v>
      </c>
      <c r="F5" s="17">
        <v>44</v>
      </c>
      <c r="G5" s="17">
        <v>0</v>
      </c>
      <c r="H5" s="33" t="s">
        <v>525</v>
      </c>
      <c r="I5" s="17" t="s">
        <v>7</v>
      </c>
      <c r="J5" s="17" t="s">
        <v>122</v>
      </c>
      <c r="K5" s="17" t="s">
        <v>9</v>
      </c>
      <c r="L5" s="17" t="s">
        <v>464</v>
      </c>
      <c r="M5" s="18" t="s">
        <v>465</v>
      </c>
    </row>
    <row r="6" spans="1:13" x14ac:dyDescent="0.3">
      <c r="A6" s="8">
        <v>4</v>
      </c>
      <c r="B6" s="17" t="s">
        <v>493</v>
      </c>
      <c r="C6" s="17" t="s">
        <v>437</v>
      </c>
      <c r="D6" s="17">
        <v>464</v>
      </c>
      <c r="E6" s="17">
        <v>310</v>
      </c>
      <c r="F6" s="17">
        <v>154</v>
      </c>
      <c r="G6" s="17">
        <v>0</v>
      </c>
      <c r="H6" s="17" t="s">
        <v>526</v>
      </c>
      <c r="I6" s="17" t="s">
        <v>7</v>
      </c>
      <c r="J6" s="17" t="s">
        <v>53</v>
      </c>
      <c r="K6" s="17" t="s">
        <v>9</v>
      </c>
      <c r="L6" s="17" t="s">
        <v>57</v>
      </c>
      <c r="M6" s="18" t="s">
        <v>58</v>
      </c>
    </row>
    <row r="7" spans="1:13" x14ac:dyDescent="0.3">
      <c r="A7" s="8">
        <v>5</v>
      </c>
      <c r="B7" s="17" t="s">
        <v>447</v>
      </c>
      <c r="C7" s="17" t="s">
        <v>447</v>
      </c>
      <c r="D7" s="17">
        <v>679</v>
      </c>
      <c r="E7" s="17">
        <v>530</v>
      </c>
      <c r="F7" s="17">
        <v>149</v>
      </c>
      <c r="G7" s="17">
        <v>0</v>
      </c>
      <c r="H7" s="33" t="s">
        <v>527</v>
      </c>
      <c r="I7" s="17" t="s">
        <v>7</v>
      </c>
      <c r="J7" s="17" t="s">
        <v>252</v>
      </c>
      <c r="K7" s="17" t="s">
        <v>9</v>
      </c>
      <c r="L7" s="17" t="s">
        <v>466</v>
      </c>
      <c r="M7" s="18" t="s">
        <v>467</v>
      </c>
    </row>
    <row r="8" spans="1:13" x14ac:dyDescent="0.3">
      <c r="A8" s="8">
        <v>6</v>
      </c>
      <c r="B8" s="17" t="s">
        <v>448</v>
      </c>
      <c r="C8" s="17" t="s">
        <v>448</v>
      </c>
      <c r="D8" s="17">
        <v>124</v>
      </c>
      <c r="E8" s="17">
        <v>50</v>
      </c>
      <c r="F8" s="17">
        <v>74</v>
      </c>
      <c r="G8" s="17">
        <v>0</v>
      </c>
      <c r="H8" s="17" t="s">
        <v>528</v>
      </c>
      <c r="I8" s="17" t="s">
        <v>7</v>
      </c>
      <c r="J8" s="17" t="s">
        <v>449</v>
      </c>
      <c r="K8" s="17" t="s">
        <v>9</v>
      </c>
      <c r="L8" s="17" t="s">
        <v>468</v>
      </c>
      <c r="M8" s="18" t="s">
        <v>469</v>
      </c>
    </row>
    <row r="9" spans="1:13" x14ac:dyDescent="0.3">
      <c r="A9" s="8">
        <v>7</v>
      </c>
      <c r="B9" s="17" t="s">
        <v>450</v>
      </c>
      <c r="C9" s="17" t="s">
        <v>450</v>
      </c>
      <c r="D9" s="17">
        <v>80</v>
      </c>
      <c r="E9" s="17">
        <v>80</v>
      </c>
      <c r="F9" s="17">
        <v>0</v>
      </c>
      <c r="G9" s="17">
        <v>0</v>
      </c>
      <c r="H9" s="33" t="s">
        <v>529</v>
      </c>
      <c r="I9" s="17" t="s">
        <v>7</v>
      </c>
      <c r="J9" s="17" t="s">
        <v>36</v>
      </c>
      <c r="K9" s="17" t="s">
        <v>9</v>
      </c>
      <c r="L9" s="17" t="s">
        <v>470</v>
      </c>
      <c r="M9" s="18" t="s">
        <v>471</v>
      </c>
    </row>
    <row r="10" spans="1:13" x14ac:dyDescent="0.3">
      <c r="A10" s="8">
        <v>8</v>
      </c>
      <c r="B10" s="17" t="s">
        <v>452</v>
      </c>
      <c r="C10" s="17" t="s">
        <v>452</v>
      </c>
      <c r="D10" s="17">
        <v>45</v>
      </c>
      <c r="E10" s="17">
        <v>21</v>
      </c>
      <c r="F10" s="17">
        <v>24</v>
      </c>
      <c r="G10" s="17">
        <v>0</v>
      </c>
      <c r="H10" s="17" t="s">
        <v>530</v>
      </c>
      <c r="I10" s="17" t="s">
        <v>7</v>
      </c>
      <c r="J10" s="17" t="s">
        <v>36</v>
      </c>
      <c r="K10" s="17" t="s">
        <v>9</v>
      </c>
      <c r="L10" s="17" t="s">
        <v>474</v>
      </c>
      <c r="M10" s="18" t="s">
        <v>475</v>
      </c>
    </row>
    <row r="11" spans="1:13" x14ac:dyDescent="0.3">
      <c r="A11" s="8">
        <v>9</v>
      </c>
      <c r="B11" s="17" t="s">
        <v>453</v>
      </c>
      <c r="C11" s="17" t="s">
        <v>453</v>
      </c>
      <c r="D11" s="17">
        <v>608</v>
      </c>
      <c r="E11" s="17">
        <v>259</v>
      </c>
      <c r="F11" s="17">
        <v>349</v>
      </c>
      <c r="G11" s="17">
        <v>0</v>
      </c>
      <c r="H11" s="33" t="s">
        <v>531</v>
      </c>
      <c r="I11" s="17" t="s">
        <v>7</v>
      </c>
      <c r="J11" s="17" t="s">
        <v>122</v>
      </c>
      <c r="K11" s="17" t="s">
        <v>9</v>
      </c>
      <c r="L11" s="17" t="s">
        <v>476</v>
      </c>
      <c r="M11" s="18" t="s">
        <v>477</v>
      </c>
    </row>
    <row r="12" spans="1:13" x14ac:dyDescent="0.3">
      <c r="A12" s="8">
        <v>10</v>
      </c>
      <c r="B12" s="17" t="s">
        <v>455</v>
      </c>
      <c r="C12" s="17" t="s">
        <v>455</v>
      </c>
      <c r="D12" s="17">
        <v>77</v>
      </c>
      <c r="E12" s="17">
        <v>17</v>
      </c>
      <c r="F12" s="17">
        <v>60</v>
      </c>
      <c r="G12" s="17">
        <v>0</v>
      </c>
      <c r="H12" s="17" t="s">
        <v>532</v>
      </c>
      <c r="I12" s="17" t="s">
        <v>7</v>
      </c>
      <c r="J12" s="17" t="s">
        <v>342</v>
      </c>
      <c r="K12" s="17" t="s">
        <v>9</v>
      </c>
      <c r="L12" s="17" t="s">
        <v>480</v>
      </c>
      <c r="M12" s="18" t="s">
        <v>481</v>
      </c>
    </row>
    <row r="13" spans="1:13" x14ac:dyDescent="0.3">
      <c r="A13" s="8">
        <v>11</v>
      </c>
      <c r="B13" s="17" t="s">
        <v>457</v>
      </c>
      <c r="C13" s="17" t="s">
        <v>457</v>
      </c>
      <c r="D13" s="17">
        <v>24</v>
      </c>
      <c r="E13" s="17">
        <v>13</v>
      </c>
      <c r="F13" s="17">
        <v>11</v>
      </c>
      <c r="G13" s="17">
        <v>0</v>
      </c>
      <c r="H13" s="33" t="s">
        <v>533</v>
      </c>
      <c r="I13" s="17" t="s">
        <v>7</v>
      </c>
      <c r="J13" s="17" t="s">
        <v>118</v>
      </c>
      <c r="K13" s="17" t="s">
        <v>9</v>
      </c>
      <c r="L13" s="17" t="s">
        <v>484</v>
      </c>
      <c r="M13" s="18" t="s">
        <v>485</v>
      </c>
    </row>
    <row r="14" spans="1:13" x14ac:dyDescent="0.3">
      <c r="A14" s="8">
        <v>12</v>
      </c>
      <c r="B14" s="17" t="s">
        <v>458</v>
      </c>
      <c r="C14" s="17" t="s">
        <v>458</v>
      </c>
      <c r="D14" s="17">
        <v>90</v>
      </c>
      <c r="E14" s="17">
        <v>30</v>
      </c>
      <c r="F14" s="17">
        <v>60</v>
      </c>
      <c r="G14" s="17">
        <v>0</v>
      </c>
      <c r="H14" s="17" t="s">
        <v>534</v>
      </c>
      <c r="I14" s="17" t="s">
        <v>7</v>
      </c>
      <c r="J14" s="17" t="s">
        <v>36</v>
      </c>
      <c r="K14" s="17" t="s">
        <v>9</v>
      </c>
      <c r="L14" s="17" t="s">
        <v>486</v>
      </c>
      <c r="M14" s="18" t="s">
        <v>487</v>
      </c>
    </row>
    <row r="15" spans="1:13" x14ac:dyDescent="0.3">
      <c r="A15" s="8">
        <v>13</v>
      </c>
      <c r="B15" s="17" t="s">
        <v>459</v>
      </c>
      <c r="C15" s="17" t="s">
        <v>459</v>
      </c>
      <c r="D15" s="17">
        <v>54</v>
      </c>
      <c r="E15" s="17">
        <v>21</v>
      </c>
      <c r="F15" s="17">
        <v>33</v>
      </c>
      <c r="G15" s="17">
        <v>0</v>
      </c>
      <c r="H15" s="33" t="s">
        <v>535</v>
      </c>
      <c r="I15" s="17" t="s">
        <v>7</v>
      </c>
      <c r="J15" s="17" t="s">
        <v>36</v>
      </c>
      <c r="K15" s="17" t="s">
        <v>9</v>
      </c>
      <c r="L15" s="17" t="s">
        <v>488</v>
      </c>
      <c r="M15" s="18" t="s">
        <v>489</v>
      </c>
    </row>
    <row r="16" spans="1:13" x14ac:dyDescent="0.3">
      <c r="A16" s="8">
        <v>14</v>
      </c>
      <c r="B16" s="17" t="s">
        <v>321</v>
      </c>
      <c r="C16" s="17" t="s">
        <v>321</v>
      </c>
      <c r="D16" s="17">
        <v>81</v>
      </c>
      <c r="E16" s="17">
        <v>18</v>
      </c>
      <c r="F16" s="17">
        <v>45</v>
      </c>
      <c r="G16" s="17">
        <v>18</v>
      </c>
      <c r="H16" s="17" t="s">
        <v>528</v>
      </c>
      <c r="I16" s="17" t="s">
        <v>7</v>
      </c>
      <c r="J16" s="17" t="s">
        <v>53</v>
      </c>
      <c r="K16" s="17" t="s">
        <v>9</v>
      </c>
      <c r="L16" s="17" t="s">
        <v>343</v>
      </c>
      <c r="M16" s="18" t="s">
        <v>344</v>
      </c>
    </row>
    <row r="17" spans="1:13" s="22" customFormat="1" ht="28.8" x14ac:dyDescent="0.3">
      <c r="A17" s="8">
        <v>15</v>
      </c>
      <c r="B17" s="1" t="s">
        <v>506</v>
      </c>
      <c r="C17" s="2" t="s">
        <v>438</v>
      </c>
      <c r="D17" s="2">
        <v>68</v>
      </c>
      <c r="E17" s="2">
        <v>35</v>
      </c>
      <c r="F17" s="2">
        <v>33</v>
      </c>
      <c r="G17" s="2">
        <v>0</v>
      </c>
      <c r="H17" s="33" t="s">
        <v>536</v>
      </c>
      <c r="I17" s="2" t="s">
        <v>7</v>
      </c>
      <c r="J17" s="2" t="s">
        <v>439</v>
      </c>
      <c r="K17" s="2" t="s">
        <v>17</v>
      </c>
      <c r="L17" s="2" t="s">
        <v>441</v>
      </c>
      <c r="M17" s="32" t="s">
        <v>505</v>
      </c>
    </row>
    <row r="18" spans="1:13" x14ac:dyDescent="0.3">
      <c r="A18" s="8">
        <v>16</v>
      </c>
      <c r="B18" s="17" t="s">
        <v>440</v>
      </c>
      <c r="C18" s="17" t="s">
        <v>440</v>
      </c>
      <c r="D18" s="17">
        <v>89</v>
      </c>
      <c r="E18" s="17">
        <v>31</v>
      </c>
      <c r="F18" s="17">
        <v>29</v>
      </c>
      <c r="G18" s="17">
        <v>29</v>
      </c>
      <c r="H18" s="17" t="s">
        <v>537</v>
      </c>
      <c r="I18" s="17" t="s">
        <v>7</v>
      </c>
      <c r="J18" s="17" t="s">
        <v>36</v>
      </c>
      <c r="K18" s="17" t="s">
        <v>9</v>
      </c>
      <c r="L18" s="17" t="s">
        <v>442</v>
      </c>
      <c r="M18" s="18" t="s">
        <v>443</v>
      </c>
    </row>
    <row r="19" spans="1:13" x14ac:dyDescent="0.3">
      <c r="A19" s="8">
        <v>17</v>
      </c>
      <c r="B19" s="17" t="s">
        <v>451</v>
      </c>
      <c r="C19" s="17" t="s">
        <v>451</v>
      </c>
      <c r="D19" s="17">
        <v>982</v>
      </c>
      <c r="E19" s="17">
        <v>982</v>
      </c>
      <c r="F19" s="17">
        <v>0</v>
      </c>
      <c r="G19" s="17">
        <v>0</v>
      </c>
      <c r="H19" s="33"/>
      <c r="I19" s="17" t="s">
        <v>7</v>
      </c>
      <c r="J19" s="17" t="s">
        <v>297</v>
      </c>
      <c r="K19" s="17" t="s">
        <v>17</v>
      </c>
      <c r="L19" s="17" t="s">
        <v>472</v>
      </c>
      <c r="M19" s="18" t="s">
        <v>473</v>
      </c>
    </row>
    <row r="20" spans="1:13" x14ac:dyDescent="0.3">
      <c r="A20" s="8">
        <v>18</v>
      </c>
      <c r="B20" s="17" t="s">
        <v>454</v>
      </c>
      <c r="C20" s="17" t="s">
        <v>454</v>
      </c>
      <c r="D20" s="17">
        <v>70</v>
      </c>
      <c r="E20" s="17">
        <v>70</v>
      </c>
      <c r="F20" s="17">
        <v>0</v>
      </c>
      <c r="G20" s="17">
        <v>0</v>
      </c>
      <c r="H20" s="17"/>
      <c r="I20" s="17" t="s">
        <v>7</v>
      </c>
      <c r="J20" s="17" t="s">
        <v>36</v>
      </c>
      <c r="K20" s="17" t="s">
        <v>9</v>
      </c>
      <c r="L20" s="17" t="s">
        <v>478</v>
      </c>
      <c r="M20" s="18" t="s">
        <v>479</v>
      </c>
    </row>
    <row r="21" spans="1:13" x14ac:dyDescent="0.3">
      <c r="A21" s="8">
        <v>19</v>
      </c>
      <c r="B21" s="17" t="s">
        <v>456</v>
      </c>
      <c r="C21" s="17" t="s">
        <v>456</v>
      </c>
      <c r="D21" s="17">
        <v>235</v>
      </c>
      <c r="E21" s="17">
        <v>235</v>
      </c>
      <c r="F21" s="17">
        <v>0</v>
      </c>
      <c r="G21" s="17">
        <v>0</v>
      </c>
      <c r="H21" s="33"/>
      <c r="I21" s="17" t="s">
        <v>7</v>
      </c>
      <c r="J21" s="17" t="s">
        <v>53</v>
      </c>
      <c r="K21" s="17" t="s">
        <v>9</v>
      </c>
      <c r="L21" s="17" t="s">
        <v>482</v>
      </c>
      <c r="M21" s="18" t="s">
        <v>483</v>
      </c>
    </row>
    <row r="22" spans="1:13" x14ac:dyDescent="0.3">
      <c r="A22" s="27"/>
      <c r="B22" s="27"/>
      <c r="C22" s="28" t="s">
        <v>491</v>
      </c>
      <c r="D22" s="28">
        <f>SUM(D3:D21)</f>
        <v>4149</v>
      </c>
      <c r="E22" s="28">
        <f t="shared" ref="E22:G22" si="0">SUM(E3:E21)</f>
        <v>2885</v>
      </c>
      <c r="F22" s="28">
        <f t="shared" si="0"/>
        <v>1217</v>
      </c>
      <c r="G22" s="28">
        <f t="shared" si="0"/>
        <v>47</v>
      </c>
      <c r="H22" s="28"/>
      <c r="I22" s="28"/>
      <c r="J22" s="28"/>
      <c r="K22" s="28"/>
      <c r="L22" s="10"/>
      <c r="M22" s="31"/>
    </row>
  </sheetData>
  <mergeCells count="1">
    <mergeCell ref="A1:M1"/>
  </mergeCells>
  <hyperlinks>
    <hyperlink ref="M16" r:id="rId1" xr:uid="{21E98F1F-4898-463F-B2EB-69839ED1B849}"/>
    <hyperlink ref="M3" r:id="rId2" xr:uid="{49611C61-27C0-4881-8507-67216980E2F0}"/>
    <hyperlink ref="M4" r:id="rId3" xr:uid="{860779DB-67F9-49BF-A556-BAD321C0A83D}"/>
    <hyperlink ref="M5" r:id="rId4" xr:uid="{E315476B-4527-4A34-AE75-CC9052D27FDE}"/>
    <hyperlink ref="M6" r:id="rId5" xr:uid="{5022EACA-DA83-42DE-976C-02162F1EE4DD}"/>
    <hyperlink ref="M7" r:id="rId6" xr:uid="{437E9FD8-E92B-41FC-9416-5D8ED991F692}"/>
    <hyperlink ref="M8" r:id="rId7" xr:uid="{E0004664-E459-455F-9E10-ADE5142A027C}"/>
    <hyperlink ref="M9" r:id="rId8" xr:uid="{41A3B1F2-8D47-4A6F-BDC3-E55FBF372A0D}"/>
    <hyperlink ref="M19" r:id="rId9" xr:uid="{FB16A546-7E40-4511-A9FF-EA454A71E7D5}"/>
    <hyperlink ref="M10" r:id="rId10" xr:uid="{9A4E19B0-9F8B-464A-9E23-8A36698D1661}"/>
    <hyperlink ref="M11" r:id="rId11" xr:uid="{A1C22A56-B056-4965-8A5A-C323C989791E}"/>
    <hyperlink ref="M20" r:id="rId12" xr:uid="{29BD98B2-2223-47DD-8EB5-63492B52D188}"/>
    <hyperlink ref="M12" r:id="rId13" xr:uid="{04739D2C-8F68-40EA-975D-6C48FB31EE5E}"/>
    <hyperlink ref="M17" r:id="rId14" display="https://doi.org/10.7554/eLife.42693" xr:uid="{64558EC6-A33A-48DF-8C49-BABB7F01270B}"/>
    <hyperlink ref="M21" r:id="rId15" xr:uid="{BC46092A-86FB-4B7D-8431-EEDE23439D5F}"/>
    <hyperlink ref="M13" r:id="rId16" xr:uid="{F3C1518E-20CB-4D40-B686-1E49623A4308}"/>
    <hyperlink ref="M14" r:id="rId17" xr:uid="{EF39B885-2FC3-4947-AC64-5D2A287B2A85}"/>
    <hyperlink ref="M15" r:id="rId18" xr:uid="{B5A3559D-1538-4223-964B-BA110D60F10B}"/>
    <hyperlink ref="M18" r:id="rId19" xr:uid="{E70C0FE2-538A-4ABC-8663-1F8396E8F65A}"/>
  </hyperlinks>
  <pageMargins left="0.7" right="0.7" top="0.75" bottom="0.75" header="0.3" footer="0.3"/>
  <pageSetup paperSize="9" orientation="portrait" verticalDpi="0" r:id="rId20"/>
  <tableParts count="1">
    <tablePart r:id="rId2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Legends</vt:lpstr>
      <vt:lpstr>ST1A</vt:lpstr>
      <vt:lpstr>ST1B</vt:lpstr>
      <vt:lpstr>ST1C</vt:lpstr>
      <vt:lpstr>ST1D</vt:lpstr>
      <vt:lpstr>ST1E</vt:lpstr>
      <vt:lpstr>ST1F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Omprakash Shete</dc:creator>
  <cp:lastModifiedBy>Omprakash Shete</cp:lastModifiedBy>
  <dcterms:created xsi:type="dcterms:W3CDTF">2026-02-20T09:51:41Z</dcterms:created>
  <dcterms:modified xsi:type="dcterms:W3CDTF">2026-08-16T06:20:14Z</dcterms:modified>
</cp:coreProperties>
</file>