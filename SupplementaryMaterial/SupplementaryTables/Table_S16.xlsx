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28D2ECCC-B8CC-4B9E-B5A7-37D95C25AAB6}" xr6:coauthVersionLast="47" xr6:coauthVersionMax="47" xr10:uidLastSave="{00000000-0000-0000-0000-000000000000}"/>
  <bookViews>
    <workbookView xWindow="-108" yWindow="-108" windowWidth="23256" windowHeight="12456" xr2:uid="{0597FD52-EBCE-4C1E-910F-F31575D59379}"/>
  </bookViews>
  <sheets>
    <sheet name="Legends" sheetId="3" r:id="rId1"/>
    <sheet name="ST16A" sheetId="1" r:id="rId2"/>
    <sheet name="ST16B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2" l="1"/>
  <c r="C4" i="2"/>
  <c r="C5" i="2"/>
  <c r="C6" i="2"/>
  <c r="C7" i="2"/>
  <c r="C8" i="2"/>
  <c r="C9" i="2"/>
  <c r="C10" i="2"/>
  <c r="C11" i="2"/>
  <c r="C12" i="2"/>
  <c r="C13" i="2"/>
  <c r="C14" i="2"/>
  <c r="C3" i="2"/>
  <c r="H15" i="2"/>
  <c r="C26" i="1"/>
  <c r="C15" i="2" l="1"/>
</calcChain>
</file>

<file path=xl/sharedStrings.xml><?xml version="1.0" encoding="utf-8"?>
<sst xmlns="http://schemas.openxmlformats.org/spreadsheetml/2006/main" count="250" uniqueCount="103">
  <si>
    <t>Study Name</t>
  </si>
  <si>
    <t>Sample Size</t>
  </si>
  <si>
    <t>Oral-Subsite</t>
  </si>
  <si>
    <t>Country</t>
  </si>
  <si>
    <t>Sequencing Strategy</t>
  </si>
  <si>
    <t>Control Samples</t>
  </si>
  <si>
    <t>Disease Samples</t>
  </si>
  <si>
    <t>Diseases</t>
  </si>
  <si>
    <t>Accession No.</t>
  </si>
  <si>
    <t>DOI</t>
  </si>
  <si>
    <t>CaselliE_2020</t>
  </si>
  <si>
    <t>supragingival_subsite</t>
  </si>
  <si>
    <t>ITA</t>
  </si>
  <si>
    <t>WGS</t>
  </si>
  <si>
    <t>PRJEB36291</t>
  </si>
  <si>
    <t>https://doi.org/10.1186/s12866-020-01801-y</t>
  </si>
  <si>
    <t>ChenC_2018_exposure</t>
  </si>
  <si>
    <t>USA</t>
  </si>
  <si>
    <t>16s</t>
  </si>
  <si>
    <t>PRJNA321534</t>
  </si>
  <si>
    <t>https://doi.org/10.1038/s41396-017-0037-1</t>
  </si>
  <si>
    <t>FerrerM_2020</t>
  </si>
  <si>
    <t>ESP</t>
  </si>
  <si>
    <t>PRJNA629283</t>
  </si>
  <si>
    <t>https://doi.org/10.3389/fcimb.2020.00465</t>
  </si>
  <si>
    <t>GanesanS_2020_exposure</t>
  </si>
  <si>
    <t>PRJNA544061; PRJNA548383; PRJNA508385</t>
  </si>
  <si>
    <t>https://doi.org/10.1126/sciadv.aaz0108</t>
  </si>
  <si>
    <t>HMP_2012</t>
  </si>
  <si>
    <t>https://doi.org/10.1038/nature11234</t>
  </si>
  <si>
    <t>JiangW_2015</t>
  </si>
  <si>
    <t>CHN</t>
  </si>
  <si>
    <t>PRJNA267061</t>
  </si>
  <si>
    <t>https://doi.org/10.1371/journal.pone.0124631</t>
  </si>
  <si>
    <t>JulianM_2017_exposure</t>
  </si>
  <si>
    <t>PRJNA330897</t>
  </si>
  <si>
    <t>http://dx.doi.org/10.1097/MD.0000000000005821</t>
  </si>
  <si>
    <t>ShaiberA_2020a</t>
  </si>
  <si>
    <t>PRJNA625082</t>
  </si>
  <si>
    <t>https://doi.org/10.1186/s13059-020-02195-w</t>
  </si>
  <si>
    <t>ShaiberA_2020b</t>
  </si>
  <si>
    <t>YuG_2016</t>
  </si>
  <si>
    <t>PRJNA316469</t>
  </si>
  <si>
    <t>https://doi.org/10.1158/1055-9965.EPI-16-0538</t>
  </si>
  <si>
    <t>YuG_2016_exposure</t>
  </si>
  <si>
    <t>ZhangY_2022</t>
  </si>
  <si>
    <t>PRJNA826664</t>
  </si>
  <si>
    <t>https://doi.org/10.3389/fcimb.2022.1016523</t>
  </si>
  <si>
    <t>ChenC_2018</t>
  </si>
  <si>
    <t>Periodontitis</t>
  </si>
  <si>
    <t>GalimanasV_2014</t>
  </si>
  <si>
    <t>PRJEB6047</t>
  </si>
  <si>
    <t>https://doi.org/10.1186/2049-2618-2-32</t>
  </si>
  <si>
    <t>HavsedK_2021</t>
  </si>
  <si>
    <t>SWE</t>
  </si>
  <si>
    <t>Dental_Caries</t>
  </si>
  <si>
    <t>PRJNA681486</t>
  </si>
  <si>
    <t>https://doi.org/10.3389/fcimb.2021.716493</t>
  </si>
  <si>
    <t>JesusV_2021</t>
  </si>
  <si>
    <t>CAN</t>
  </si>
  <si>
    <t>PRJNA714139; PRJNA555320</t>
  </si>
  <si>
    <t>https://doi.org/10.3389/fmicb.2021.683685</t>
  </si>
  <si>
    <t>NajmanovaL_2021</t>
  </si>
  <si>
    <t>CZE</t>
  </si>
  <si>
    <t>PRJNA291567</t>
  </si>
  <si>
    <t>https://doi.org/10.3389/fcimb.2021.602643</t>
  </si>
  <si>
    <t>PangL_2021</t>
  </si>
  <si>
    <t>PRJNA766357</t>
  </si>
  <si>
    <t>10.3389/fcimb.2021.740981</t>
  </si>
  <si>
    <t>ProctorD_2018</t>
  </si>
  <si>
    <t>Sjogren_Syndrome</t>
  </si>
  <si>
    <t>PRJNA362643</t>
  </si>
  <si>
    <t>https://doi.org/10.1038/s41467-018-02900-1</t>
  </si>
  <si>
    <t>SantosA_2021</t>
  </si>
  <si>
    <t>PRT</t>
  </si>
  <si>
    <t>T2D</t>
  </si>
  <si>
    <t>PRJNA679485</t>
  </si>
  <si>
    <t>https://doi.org/10.3389/fmicb.2021.610370</t>
  </si>
  <si>
    <t>XiaoC_2016</t>
  </si>
  <si>
    <t>PRJNA325084</t>
  </si>
  <si>
    <t>https://doi.org/10.3389/fmicb.2016.01145</t>
  </si>
  <si>
    <t>ZhangX_2015</t>
  </si>
  <si>
    <t>Bone_Associated_Disorders</t>
  </si>
  <si>
    <t>PRJEB6997</t>
  </si>
  <si>
    <t>https://doi.org/10.1038/nm.3914</t>
  </si>
  <si>
    <t>ZhengH_2015</t>
  </si>
  <si>
    <t>Peri_Implantitis_Variants</t>
  </si>
  <si>
    <t>PRJNA253517</t>
  </si>
  <si>
    <t>https://doi.org/10.1038/srep10948</t>
  </si>
  <si>
    <t>JulianM_2017</t>
  </si>
  <si>
    <t>HIV</t>
  </si>
  <si>
    <r>
      <t xml:space="preserve">Details of the </t>
    </r>
    <r>
      <rPr>
        <b/>
        <sz val="12"/>
        <color theme="5" tint="-0.249977111117893"/>
        <rFont val="Calibri"/>
        <family val="2"/>
        <scheme val="minor"/>
      </rPr>
      <t xml:space="preserve">23 Supragingival studies </t>
    </r>
    <r>
      <rPr>
        <b/>
        <sz val="12"/>
        <rFont val="Calibri"/>
        <family val="2"/>
        <scheme val="minor"/>
      </rPr>
      <t>used for Core-Association Score (</t>
    </r>
    <r>
      <rPr>
        <b/>
        <sz val="12"/>
        <color theme="5" tint="-0.249977111117893"/>
        <rFont val="Calibri"/>
        <family val="2"/>
        <scheme val="minor"/>
      </rPr>
      <t>CS</t>
    </r>
    <r>
      <rPr>
        <b/>
        <sz val="12"/>
        <rFont val="Calibri"/>
        <family val="2"/>
        <scheme val="minor"/>
      </rPr>
      <t>) Computation</t>
    </r>
  </si>
  <si>
    <r>
      <t>Details of the 12</t>
    </r>
    <r>
      <rPr>
        <b/>
        <sz val="12"/>
        <color theme="5" tint="-0.249977111117893"/>
        <rFont val="Calibri"/>
        <family val="2"/>
        <scheme val="minor"/>
      </rPr>
      <t xml:space="preserve"> Supragingival studies </t>
    </r>
    <r>
      <rPr>
        <b/>
        <sz val="12"/>
        <rFont val="Calibri"/>
        <family val="2"/>
        <scheme val="minor"/>
      </rPr>
      <t>used for Health-Association Score (</t>
    </r>
    <r>
      <rPr>
        <b/>
        <sz val="12"/>
        <color theme="5" tint="-0.249977111117893"/>
        <rFont val="Calibri"/>
        <family val="2"/>
        <scheme val="minor"/>
      </rPr>
      <t>HS</t>
    </r>
    <r>
      <rPr>
        <b/>
        <sz val="12"/>
        <rFont val="Calibri"/>
        <family val="2"/>
        <scheme val="minor"/>
      </rPr>
      <t>) Computation</t>
    </r>
  </si>
  <si>
    <t>Table Number</t>
  </si>
  <si>
    <t>In short</t>
  </si>
  <si>
    <t>Description</t>
  </si>
  <si>
    <t>Table S16A</t>
  </si>
  <si>
    <t>ST16A</t>
  </si>
  <si>
    <t>Table S16B</t>
  </si>
  <si>
    <t>ST16B</t>
  </si>
  <si>
    <r>
      <t xml:space="preserve">Supragingival control cohorts used for Core Association Score computation:
</t>
    </r>
    <r>
      <rPr>
        <sz val="11"/>
        <color theme="1"/>
        <rFont val="Calibri"/>
        <family val="2"/>
        <scheme val="minor"/>
      </rPr>
      <t>Details of 23 non-diseased supragingival study cohorts used for Core Association Score computation, including study cohort information, sequencing strategy, country, sample count, and study-wise core-associated taxa.</t>
    </r>
  </si>
  <si>
    <r>
      <rPr>
        <sz val="11"/>
        <color theme="5" tint="-0.249977111117893"/>
        <rFont val="Calibri"/>
        <family val="2"/>
        <scheme val="minor"/>
      </rPr>
      <t xml:space="preserve">Matched supragingival case-control cohorts used for Health Association Score computation:
</t>
    </r>
    <r>
      <rPr>
        <sz val="11"/>
        <color theme="1"/>
        <rFont val="Calibri"/>
        <family val="2"/>
        <scheme val="minor"/>
      </rPr>
      <t>Details of matched supragingival case-control cohorts spanning 7 disease categories, including control and diseased sample counts, country, sequencing strategy, and disease category information.</t>
    </r>
  </si>
  <si>
    <t>Table S16: Supragingival control and matched case-control cohorts used for Core-Association Score (CS) and Health-Association Score (HS) computation.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</si>
</sst>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67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920A7-F565-4D93-8AAC-DBC8B572EF10}" name="Table2" displayName="Table2" ref="A3:H26" headerRowCount="0" totalsRowCount="1" headerRowDxfId="66" dataDxfId="64" headerRowBorderDxfId="65" tableBorderDxfId="63" totalsRowBorderDxfId="62">
  <tableColumns count="8">
    <tableColumn id="1" xr3:uid="{046A9B6B-CE9F-416F-BDD1-243F4D9F2F99}" name="Column1" headerRowDxfId="61" dataDxfId="60" totalsRowDxfId="59"/>
    <tableColumn id="2" xr3:uid="{9FA56216-1A89-4D73-8C54-AB26C119CAA9}" name="Column2" headerRowDxfId="58" dataDxfId="57" totalsRowDxfId="56"/>
    <tableColumn id="3" xr3:uid="{B2A6460F-9EDA-4481-805C-EC4CD245845B}" name="Column3" totalsRowFunction="custom" headerRowDxfId="55" dataDxfId="54" totalsRowDxfId="53">
      <totalsRowFormula>SUM(Table2[Column3])</totalsRowFormula>
    </tableColumn>
    <tableColumn id="4" xr3:uid="{23944E86-9541-4328-9F95-9B6E77413C67}" name="Column4" headerRowDxfId="52" dataDxfId="51" totalsRowDxfId="50"/>
    <tableColumn id="5" xr3:uid="{64478FF7-C5FE-4748-9A9C-B4CB4126CA27}" name="Column5" headerRowDxfId="49" dataDxfId="48" totalsRowDxfId="47"/>
    <tableColumn id="6" xr3:uid="{D5C8F96B-4AC2-43E4-AA9B-DDC6C88C43D7}" name="Column6" headerRowDxfId="46" dataDxfId="45" totalsRowDxfId="44"/>
    <tableColumn id="13" xr3:uid="{D8B02924-CEFF-4828-AF99-E18E4B3AA062}" name="Column13" headerRowDxfId="43" dataDxfId="42" totalsRowDxfId="41"/>
    <tableColumn id="14" xr3:uid="{CA5C7A2A-AB12-48F2-95F1-3995B1752157}" name="Column14" headerRowDxfId="40" dataDxfId="39" totalsRowDxfId="3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2677CF-F871-426B-9031-2DB83F03B4EA}" name="Table23" displayName="Table23" ref="A3:K15" headerRowCount="0" totalsRowCount="1" headerRowDxfId="37" dataDxfId="35" headerRowBorderDxfId="36" tableBorderDxfId="34" totalsRowBorderDxfId="33">
  <tableColumns count="11">
    <tableColumn id="1" xr3:uid="{1797D004-61E0-4EEB-A840-F5983CCAA13A}" name="Column1" headerRowDxfId="32" dataDxfId="31" totalsRowDxfId="30"/>
    <tableColumn id="2" xr3:uid="{3F872C79-80BC-481F-A86E-C549EAB2ADE4}" name="Column2" headerRowDxfId="29" dataDxfId="28" totalsRowDxfId="27"/>
    <tableColumn id="3" xr3:uid="{0953340D-3255-4749-BD9A-1B59CE5EDF12}" name="Column3" totalsRowFunction="custom" headerRowDxfId="26" dataDxfId="25" totalsRowDxfId="24">
      <calculatedColumnFormula>SUM(Table23[[#This Row],[Column7]:[Column8]])</calculatedColumnFormula>
      <totalsRowFormula>SUM(Table23[Column3])</totalsRowFormula>
    </tableColumn>
    <tableColumn id="4" xr3:uid="{CDA706C3-8E58-4064-9760-3B246DC2F6E3}" name="Column4" headerRowDxfId="23" dataDxfId="22" totalsRowDxfId="21"/>
    <tableColumn id="5" xr3:uid="{D51E88D6-A5EB-40C5-92BC-C1DE85E50552}" name="Column5" headerRowDxfId="20" dataDxfId="19" totalsRowDxfId="18"/>
    <tableColumn id="6" xr3:uid="{C4A424EB-7206-495F-A47F-791585493A2F}" name="Column6" headerRowDxfId="17" dataDxfId="16" totalsRowDxfId="15"/>
    <tableColumn id="7" xr3:uid="{A31772CE-4707-46DC-B2BD-A35737064FAF}" name="Column7" totalsRowFunction="custom" headerRowDxfId="14" dataDxfId="13" totalsRowDxfId="12">
      <totalsRowFormula>SUM(Table23[Column7])</totalsRowFormula>
    </tableColumn>
    <tableColumn id="8" xr3:uid="{EE7E6DD7-DF39-43E3-B148-1A67DCDD5A8E}" name="Column8" totalsRowFunction="custom" headerRowDxfId="11" dataDxfId="10" totalsRowDxfId="9">
      <totalsRowFormula>SUM(Table23[Column8])</totalsRowFormula>
    </tableColumn>
    <tableColumn id="10" xr3:uid="{1C5F9AD4-2153-44E4-9DE4-BD690F3DFF92}" name="Column10" headerRowDxfId="8" dataDxfId="7" totalsRowDxfId="6"/>
    <tableColumn id="13" xr3:uid="{0F318870-0B72-4BD5-B071-E8A695084EF4}" name="Column13" headerRowDxfId="5" dataDxfId="4" totalsRowDxfId="3"/>
    <tableColumn id="14" xr3:uid="{7BFB6B4C-D9E4-4538-A244-C71D4E3E0866}" name="Column14" headerRowDxfId="2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DA8C-65A1-4692-B029-554AB49BAFB2}">
  <dimension ref="A1:C5"/>
  <sheetViews>
    <sheetView tabSelected="1" workbookViewId="0">
      <selection activeCell="D9" sqref="D9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12" t="s">
        <v>102</v>
      </c>
      <c r="B1" s="13"/>
      <c r="C1" s="13"/>
    </row>
    <row r="2" spans="1:3" ht="28.2" customHeight="1" x14ac:dyDescent="0.3">
      <c r="A2" s="13"/>
      <c r="B2" s="13"/>
      <c r="C2" s="13"/>
    </row>
    <row r="3" spans="1:3" x14ac:dyDescent="0.3">
      <c r="A3" s="6" t="s">
        <v>93</v>
      </c>
      <c r="B3" s="6" t="s">
        <v>94</v>
      </c>
      <c r="C3" s="6" t="s">
        <v>95</v>
      </c>
    </row>
    <row r="4" spans="1:3" ht="57.6" x14ac:dyDescent="0.3">
      <c r="A4" s="6" t="s">
        <v>96</v>
      </c>
      <c r="B4" s="6" t="s">
        <v>97</v>
      </c>
      <c r="C4" s="14" t="s">
        <v>100</v>
      </c>
    </row>
    <row r="5" spans="1:3" ht="57.6" x14ac:dyDescent="0.3">
      <c r="A5" s="6" t="s">
        <v>98</v>
      </c>
      <c r="B5" s="6" t="s">
        <v>99</v>
      </c>
      <c r="C5" s="7" t="s">
        <v>101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F5A6-876A-4DD6-A4A6-5B46D5CC92BD}">
  <dimension ref="A1:H26"/>
  <sheetViews>
    <sheetView workbookViewId="0">
      <selection activeCell="F28" sqref="F28"/>
    </sheetView>
  </sheetViews>
  <sheetFormatPr defaultRowHeight="14.4" x14ac:dyDescent="0.3"/>
  <cols>
    <col min="1" max="1" width="5.21875" customWidth="1"/>
    <col min="2" max="2" width="26" style="10" customWidth="1"/>
    <col min="3" max="3" width="12" customWidth="1"/>
    <col min="4" max="4" width="18.6640625" bestFit="1" customWidth="1"/>
    <col min="5" max="5" width="9.88671875" style="10" customWidth="1"/>
    <col min="6" max="6" width="14.44140625" customWidth="1"/>
    <col min="7" max="7" width="18.6640625" customWidth="1"/>
    <col min="8" max="8" width="47.88671875" style="10" customWidth="1"/>
    <col min="24" max="24" width="16.88671875" bestFit="1" customWidth="1"/>
  </cols>
  <sheetData>
    <row r="1" spans="1:8" ht="24.6" customHeight="1" x14ac:dyDescent="0.3">
      <c r="A1" s="11" t="s">
        <v>91</v>
      </c>
      <c r="B1" s="11"/>
      <c r="C1" s="11"/>
      <c r="D1" s="11"/>
      <c r="E1" s="11"/>
      <c r="F1" s="11"/>
      <c r="G1" s="11"/>
      <c r="H1" s="11"/>
    </row>
    <row r="2" spans="1:8" ht="28.8" x14ac:dyDescent="0.3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8</v>
      </c>
      <c r="H2" s="1" t="s">
        <v>9</v>
      </c>
    </row>
    <row r="3" spans="1:8" x14ac:dyDescent="0.3">
      <c r="A3" s="3">
        <v>1</v>
      </c>
      <c r="B3" s="4" t="s">
        <v>10</v>
      </c>
      <c r="C3" s="4">
        <v>40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</row>
    <row r="4" spans="1:8" x14ac:dyDescent="0.3">
      <c r="A4" s="5">
        <v>2</v>
      </c>
      <c r="B4" s="6" t="s">
        <v>16</v>
      </c>
      <c r="C4" s="6">
        <v>12</v>
      </c>
      <c r="D4" s="6" t="s">
        <v>11</v>
      </c>
      <c r="E4" s="6" t="s">
        <v>17</v>
      </c>
      <c r="F4" s="6" t="s">
        <v>18</v>
      </c>
      <c r="G4" s="6" t="s">
        <v>19</v>
      </c>
      <c r="H4" s="6" t="s">
        <v>20</v>
      </c>
    </row>
    <row r="5" spans="1:8" x14ac:dyDescent="0.3">
      <c r="A5" s="5">
        <v>3</v>
      </c>
      <c r="B5" s="6" t="s">
        <v>21</v>
      </c>
      <c r="C5" s="6">
        <v>75</v>
      </c>
      <c r="D5" s="6" t="s">
        <v>11</v>
      </c>
      <c r="E5" s="6" t="s">
        <v>22</v>
      </c>
      <c r="F5" s="6" t="s">
        <v>18</v>
      </c>
      <c r="G5" s="6" t="s">
        <v>23</v>
      </c>
      <c r="H5" s="6" t="s">
        <v>24</v>
      </c>
    </row>
    <row r="6" spans="1:8" ht="43.2" x14ac:dyDescent="0.3">
      <c r="A6" s="5">
        <v>4</v>
      </c>
      <c r="B6" s="6" t="s">
        <v>25</v>
      </c>
      <c r="C6" s="6">
        <v>24</v>
      </c>
      <c r="D6" s="6" t="s">
        <v>11</v>
      </c>
      <c r="E6" s="6" t="s">
        <v>17</v>
      </c>
      <c r="F6" s="6" t="s">
        <v>13</v>
      </c>
      <c r="G6" s="7" t="s">
        <v>26</v>
      </c>
      <c r="H6" s="6" t="s">
        <v>27</v>
      </c>
    </row>
    <row r="7" spans="1:8" x14ac:dyDescent="0.3">
      <c r="A7" s="5">
        <v>5</v>
      </c>
      <c r="B7" s="6" t="s">
        <v>28</v>
      </c>
      <c r="C7" s="6">
        <v>132</v>
      </c>
      <c r="D7" s="6" t="s">
        <v>11</v>
      </c>
      <c r="E7" s="6" t="s">
        <v>17</v>
      </c>
      <c r="F7" s="6" t="s">
        <v>13</v>
      </c>
      <c r="G7" s="6"/>
      <c r="H7" s="6" t="s">
        <v>29</v>
      </c>
    </row>
    <row r="8" spans="1:8" x14ac:dyDescent="0.3">
      <c r="A8" s="5">
        <v>6</v>
      </c>
      <c r="B8" s="6" t="s">
        <v>30</v>
      </c>
      <c r="C8" s="6">
        <v>64</v>
      </c>
      <c r="D8" s="6" t="s">
        <v>11</v>
      </c>
      <c r="E8" s="6" t="s">
        <v>31</v>
      </c>
      <c r="F8" s="6" t="s">
        <v>18</v>
      </c>
      <c r="G8" s="6" t="s">
        <v>32</v>
      </c>
      <c r="H8" s="6" t="s">
        <v>33</v>
      </c>
    </row>
    <row r="9" spans="1:8" x14ac:dyDescent="0.3">
      <c r="A9" s="5">
        <v>7</v>
      </c>
      <c r="B9" s="6" t="s">
        <v>34</v>
      </c>
      <c r="C9" s="6">
        <v>20</v>
      </c>
      <c r="D9" s="6" t="s">
        <v>11</v>
      </c>
      <c r="E9" s="6" t="s">
        <v>17</v>
      </c>
      <c r="F9" s="6" t="s">
        <v>18</v>
      </c>
      <c r="G9" s="6" t="s">
        <v>35</v>
      </c>
      <c r="H9" s="6" t="s">
        <v>36</v>
      </c>
    </row>
    <row r="10" spans="1:8" x14ac:dyDescent="0.3">
      <c r="A10" s="5">
        <v>8</v>
      </c>
      <c r="B10" s="6" t="s">
        <v>37</v>
      </c>
      <c r="C10" s="6">
        <v>35</v>
      </c>
      <c r="D10" s="6" t="s">
        <v>11</v>
      </c>
      <c r="E10" s="6" t="s">
        <v>17</v>
      </c>
      <c r="F10" s="6" t="s">
        <v>18</v>
      </c>
      <c r="G10" s="6" t="s">
        <v>38</v>
      </c>
      <c r="H10" s="6" t="s">
        <v>39</v>
      </c>
    </row>
    <row r="11" spans="1:8" x14ac:dyDescent="0.3">
      <c r="A11" s="5">
        <v>9</v>
      </c>
      <c r="B11" s="6" t="s">
        <v>40</v>
      </c>
      <c r="C11" s="6">
        <v>35</v>
      </c>
      <c r="D11" s="6" t="s">
        <v>11</v>
      </c>
      <c r="E11" s="6" t="s">
        <v>17</v>
      </c>
      <c r="F11" s="6" t="s">
        <v>13</v>
      </c>
      <c r="G11" s="6" t="s">
        <v>38</v>
      </c>
      <c r="H11" s="6" t="s">
        <v>39</v>
      </c>
    </row>
    <row r="12" spans="1:8" x14ac:dyDescent="0.3">
      <c r="A12" s="5">
        <v>10</v>
      </c>
      <c r="B12" s="6" t="s">
        <v>41</v>
      </c>
      <c r="C12" s="6">
        <v>26</v>
      </c>
      <c r="D12" s="6" t="s">
        <v>11</v>
      </c>
      <c r="E12" s="6" t="s">
        <v>17</v>
      </c>
      <c r="F12" s="6" t="s">
        <v>18</v>
      </c>
      <c r="G12" s="6" t="s">
        <v>42</v>
      </c>
      <c r="H12" s="6" t="s">
        <v>43</v>
      </c>
    </row>
    <row r="13" spans="1:8" x14ac:dyDescent="0.3">
      <c r="A13" s="5">
        <v>11</v>
      </c>
      <c r="B13" s="6" t="s">
        <v>44</v>
      </c>
      <c r="C13" s="6">
        <v>39</v>
      </c>
      <c r="D13" s="6" t="s">
        <v>11</v>
      </c>
      <c r="E13" s="6" t="s">
        <v>17</v>
      </c>
      <c r="F13" s="6" t="s">
        <v>18</v>
      </c>
      <c r="G13" s="6" t="s">
        <v>42</v>
      </c>
      <c r="H13" s="6" t="s">
        <v>43</v>
      </c>
    </row>
    <row r="14" spans="1:8" x14ac:dyDescent="0.3">
      <c r="A14" s="5">
        <v>12</v>
      </c>
      <c r="B14" s="6" t="s">
        <v>45</v>
      </c>
      <c r="C14" s="6">
        <v>40</v>
      </c>
      <c r="D14" s="6" t="s">
        <v>11</v>
      </c>
      <c r="E14" s="6" t="s">
        <v>31</v>
      </c>
      <c r="F14" s="6" t="s">
        <v>18</v>
      </c>
      <c r="G14" s="6" t="s">
        <v>46</v>
      </c>
      <c r="H14" s="6" t="s">
        <v>47</v>
      </c>
    </row>
    <row r="15" spans="1:8" x14ac:dyDescent="0.3">
      <c r="A15" s="5">
        <v>13</v>
      </c>
      <c r="B15" s="6" t="s">
        <v>48</v>
      </c>
      <c r="C15" s="6">
        <v>30</v>
      </c>
      <c r="D15" s="6" t="s">
        <v>11</v>
      </c>
      <c r="E15" s="6" t="s">
        <v>17</v>
      </c>
      <c r="F15" s="6" t="s">
        <v>18</v>
      </c>
      <c r="G15" s="6" t="s">
        <v>19</v>
      </c>
      <c r="H15" s="6" t="s">
        <v>20</v>
      </c>
    </row>
    <row r="16" spans="1:8" x14ac:dyDescent="0.3">
      <c r="A16" s="5">
        <v>14</v>
      </c>
      <c r="B16" s="6" t="s">
        <v>50</v>
      </c>
      <c r="C16" s="6">
        <v>11</v>
      </c>
      <c r="D16" s="6" t="s">
        <v>11</v>
      </c>
      <c r="E16" s="6" t="s">
        <v>17</v>
      </c>
      <c r="F16" s="6" t="s">
        <v>18</v>
      </c>
      <c r="G16" s="6" t="s">
        <v>51</v>
      </c>
      <c r="H16" s="6" t="s">
        <v>52</v>
      </c>
    </row>
    <row r="17" spans="1:8" x14ac:dyDescent="0.3">
      <c r="A17" s="5">
        <v>15</v>
      </c>
      <c r="B17" s="6" t="s">
        <v>53</v>
      </c>
      <c r="C17" s="6">
        <v>20</v>
      </c>
      <c r="D17" s="6" t="s">
        <v>11</v>
      </c>
      <c r="E17" s="6" t="s">
        <v>54</v>
      </c>
      <c r="F17" s="6" t="s">
        <v>18</v>
      </c>
      <c r="G17" s="6" t="s">
        <v>56</v>
      </c>
      <c r="H17" s="6" t="s">
        <v>57</v>
      </c>
    </row>
    <row r="18" spans="1:8" ht="28.8" x14ac:dyDescent="0.3">
      <c r="A18" s="5">
        <v>16</v>
      </c>
      <c r="B18" s="6" t="s">
        <v>58</v>
      </c>
      <c r="C18" s="6">
        <v>158</v>
      </c>
      <c r="D18" s="6" t="s">
        <v>11</v>
      </c>
      <c r="E18" s="6" t="s">
        <v>59</v>
      </c>
      <c r="F18" s="6" t="s">
        <v>18</v>
      </c>
      <c r="G18" s="7" t="s">
        <v>60</v>
      </c>
      <c r="H18" s="6" t="s">
        <v>61</v>
      </c>
    </row>
    <row r="19" spans="1:8" x14ac:dyDescent="0.3">
      <c r="A19" s="5">
        <v>17</v>
      </c>
      <c r="B19" s="6" t="s">
        <v>62</v>
      </c>
      <c r="C19" s="6">
        <v>20</v>
      </c>
      <c r="D19" s="6" t="s">
        <v>11</v>
      </c>
      <c r="E19" s="6" t="s">
        <v>63</v>
      </c>
      <c r="F19" s="6" t="s">
        <v>18</v>
      </c>
      <c r="G19" s="6" t="s">
        <v>64</v>
      </c>
      <c r="H19" s="6" t="s">
        <v>65</v>
      </c>
    </row>
    <row r="20" spans="1:8" x14ac:dyDescent="0.3">
      <c r="A20" s="5">
        <v>18</v>
      </c>
      <c r="B20" s="6" t="s">
        <v>66</v>
      </c>
      <c r="C20" s="6">
        <v>20</v>
      </c>
      <c r="D20" s="6" t="s">
        <v>11</v>
      </c>
      <c r="E20" s="6" t="s">
        <v>31</v>
      </c>
      <c r="F20" s="6" t="s">
        <v>13</v>
      </c>
      <c r="G20" s="6" t="s">
        <v>67</v>
      </c>
      <c r="H20" s="6" t="s">
        <v>68</v>
      </c>
    </row>
    <row r="21" spans="1:8" x14ac:dyDescent="0.3">
      <c r="A21" s="5">
        <v>19</v>
      </c>
      <c r="B21" s="6" t="s">
        <v>69</v>
      </c>
      <c r="C21" s="6">
        <v>8252</v>
      </c>
      <c r="D21" s="6" t="s">
        <v>11</v>
      </c>
      <c r="E21" s="6" t="s">
        <v>17</v>
      </c>
      <c r="F21" s="6" t="s">
        <v>18</v>
      </c>
      <c r="G21" s="6" t="s">
        <v>71</v>
      </c>
      <c r="H21" s="6" t="s">
        <v>72</v>
      </c>
    </row>
    <row r="22" spans="1:8" x14ac:dyDescent="0.3">
      <c r="A22" s="5">
        <v>20</v>
      </c>
      <c r="B22" s="6" t="s">
        <v>73</v>
      </c>
      <c r="C22" s="6">
        <v>25</v>
      </c>
      <c r="D22" s="6" t="s">
        <v>11</v>
      </c>
      <c r="E22" s="6" t="s">
        <v>74</v>
      </c>
      <c r="F22" s="6" t="s">
        <v>18</v>
      </c>
      <c r="G22" s="6" t="s">
        <v>76</v>
      </c>
      <c r="H22" s="6" t="s">
        <v>77</v>
      </c>
    </row>
    <row r="23" spans="1:8" x14ac:dyDescent="0.3">
      <c r="A23" s="5">
        <v>21</v>
      </c>
      <c r="B23" s="6" t="s">
        <v>78</v>
      </c>
      <c r="C23" s="6">
        <v>29</v>
      </c>
      <c r="D23" s="6" t="s">
        <v>11</v>
      </c>
      <c r="E23" s="6" t="s">
        <v>31</v>
      </c>
      <c r="F23" s="6" t="s">
        <v>18</v>
      </c>
      <c r="G23" s="6" t="s">
        <v>79</v>
      </c>
      <c r="H23" s="6" t="s">
        <v>80</v>
      </c>
    </row>
    <row r="24" spans="1:8" x14ac:dyDescent="0.3">
      <c r="A24" s="5">
        <v>22</v>
      </c>
      <c r="B24" s="6" t="s">
        <v>81</v>
      </c>
      <c r="C24" s="6">
        <v>51</v>
      </c>
      <c r="D24" s="6" t="s">
        <v>11</v>
      </c>
      <c r="E24" s="6" t="s">
        <v>31</v>
      </c>
      <c r="F24" s="6" t="s">
        <v>13</v>
      </c>
      <c r="G24" s="6" t="s">
        <v>83</v>
      </c>
      <c r="H24" s="6" t="s">
        <v>84</v>
      </c>
    </row>
    <row r="25" spans="1:8" x14ac:dyDescent="0.3">
      <c r="A25" s="5">
        <v>23</v>
      </c>
      <c r="B25" s="6" t="s">
        <v>85</v>
      </c>
      <c r="C25" s="6">
        <v>10</v>
      </c>
      <c r="D25" s="6" t="s">
        <v>11</v>
      </c>
      <c r="E25" s="6" t="s">
        <v>31</v>
      </c>
      <c r="F25" s="6" t="s">
        <v>18</v>
      </c>
      <c r="G25" s="6" t="s">
        <v>87</v>
      </c>
      <c r="H25" s="6" t="s">
        <v>88</v>
      </c>
    </row>
    <row r="26" spans="1:8" x14ac:dyDescent="0.3">
      <c r="A26" s="8"/>
      <c r="B26" s="9"/>
      <c r="C26" s="9">
        <f>SUM(Table2[Column3])</f>
        <v>9168</v>
      </c>
      <c r="D26" s="9"/>
      <c r="E26" s="9"/>
      <c r="F26" s="9"/>
      <c r="G26" s="9"/>
      <c r="H26" s="9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986F-8AC2-4BE5-8FAE-A63E88376015}">
  <dimension ref="A1:K15"/>
  <sheetViews>
    <sheetView workbookViewId="0">
      <selection activeCell="I14" sqref="I14"/>
    </sheetView>
  </sheetViews>
  <sheetFormatPr defaultRowHeight="14.4" x14ac:dyDescent="0.3"/>
  <cols>
    <col min="1" max="1" width="5.21875" customWidth="1"/>
    <col min="2" max="2" width="22.21875" style="10" customWidth="1"/>
    <col min="3" max="3" width="8.21875" customWidth="1"/>
    <col min="4" max="4" width="18.6640625" bestFit="1" customWidth="1"/>
    <col min="5" max="5" width="9.88671875" style="10" customWidth="1"/>
    <col min="6" max="6" width="11.5546875" customWidth="1"/>
    <col min="7" max="8" width="10.109375" customWidth="1"/>
    <col min="9" max="9" width="26.33203125" customWidth="1"/>
    <col min="10" max="10" width="16.109375" customWidth="1"/>
    <col min="11" max="11" width="47.88671875" style="10" customWidth="1"/>
    <col min="27" max="27" width="16.88671875" bestFit="1" customWidth="1"/>
  </cols>
  <sheetData>
    <row r="1" spans="1:11" ht="15.6" customHeight="1" x14ac:dyDescent="0.3">
      <c r="A1" s="11" t="s">
        <v>92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8.8" x14ac:dyDescent="0.3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  <c r="J2" s="1" t="s">
        <v>8</v>
      </c>
      <c r="K2" s="1" t="s">
        <v>9</v>
      </c>
    </row>
    <row r="3" spans="1:11" x14ac:dyDescent="0.3">
      <c r="A3" s="5">
        <v>1</v>
      </c>
      <c r="B3" s="6" t="s">
        <v>48</v>
      </c>
      <c r="C3" s="6">
        <f>SUM(Table23[[#This Row],[Column7]:[Column8]])</f>
        <v>157</v>
      </c>
      <c r="D3" s="6" t="s">
        <v>11</v>
      </c>
      <c r="E3" s="6" t="s">
        <v>17</v>
      </c>
      <c r="F3" s="6" t="s">
        <v>18</v>
      </c>
      <c r="G3" s="6">
        <v>42</v>
      </c>
      <c r="H3" s="6">
        <v>115</v>
      </c>
      <c r="I3" s="6" t="s">
        <v>49</v>
      </c>
      <c r="J3" s="6" t="s">
        <v>19</v>
      </c>
      <c r="K3" s="6" t="s">
        <v>20</v>
      </c>
    </row>
    <row r="4" spans="1:11" x14ac:dyDescent="0.3">
      <c r="A4" s="5">
        <v>2</v>
      </c>
      <c r="B4" s="6" t="s">
        <v>50</v>
      </c>
      <c r="C4" s="6">
        <f>SUM(Table23[[#This Row],[Column7]:[Column8]])</f>
        <v>24</v>
      </c>
      <c r="D4" s="6" t="s">
        <v>11</v>
      </c>
      <c r="E4" s="6" t="s">
        <v>17</v>
      </c>
      <c r="F4" s="6" t="s">
        <v>18</v>
      </c>
      <c r="G4" s="6">
        <v>11</v>
      </c>
      <c r="H4" s="6">
        <v>13</v>
      </c>
      <c r="I4" s="6" t="s">
        <v>49</v>
      </c>
      <c r="J4" s="6" t="s">
        <v>51</v>
      </c>
      <c r="K4" s="6" t="s">
        <v>52</v>
      </c>
    </row>
    <row r="5" spans="1:11" x14ac:dyDescent="0.3">
      <c r="A5" s="5">
        <v>3</v>
      </c>
      <c r="B5" s="6" t="s">
        <v>53</v>
      </c>
      <c r="C5" s="6">
        <f>SUM(Table23[[#This Row],[Column7]:[Column8]])</f>
        <v>40</v>
      </c>
      <c r="D5" s="6" t="s">
        <v>11</v>
      </c>
      <c r="E5" s="6" t="s">
        <v>54</v>
      </c>
      <c r="F5" s="6" t="s">
        <v>18</v>
      </c>
      <c r="G5" s="6">
        <v>20</v>
      </c>
      <c r="H5" s="6">
        <v>20</v>
      </c>
      <c r="I5" s="6" t="s">
        <v>55</v>
      </c>
      <c r="J5" s="6" t="s">
        <v>56</v>
      </c>
      <c r="K5" s="6" t="s">
        <v>57</v>
      </c>
    </row>
    <row r="6" spans="1:11" ht="28.2" customHeight="1" x14ac:dyDescent="0.3">
      <c r="A6" s="5">
        <v>4</v>
      </c>
      <c r="B6" s="6" t="s">
        <v>58</v>
      </c>
      <c r="C6" s="6">
        <f>SUM(Table23[[#This Row],[Column7]:[Column8]])</f>
        <v>323</v>
      </c>
      <c r="D6" s="6" t="s">
        <v>11</v>
      </c>
      <c r="E6" s="6" t="s">
        <v>59</v>
      </c>
      <c r="F6" s="6" t="s">
        <v>18</v>
      </c>
      <c r="G6" s="6">
        <v>158</v>
      </c>
      <c r="H6" s="6">
        <v>165</v>
      </c>
      <c r="I6" s="6" t="s">
        <v>55</v>
      </c>
      <c r="J6" s="7" t="s">
        <v>60</v>
      </c>
      <c r="K6" s="6" t="s">
        <v>61</v>
      </c>
    </row>
    <row r="7" spans="1:11" x14ac:dyDescent="0.3">
      <c r="A7" s="5">
        <v>5</v>
      </c>
      <c r="B7" s="6" t="s">
        <v>62</v>
      </c>
      <c r="C7" s="6">
        <f>SUM(Table23[[#This Row],[Column7]:[Column8]])</f>
        <v>35</v>
      </c>
      <c r="D7" s="6" t="s">
        <v>11</v>
      </c>
      <c r="E7" s="6" t="s">
        <v>63</v>
      </c>
      <c r="F7" s="6" t="s">
        <v>18</v>
      </c>
      <c r="G7" s="6">
        <v>20</v>
      </c>
      <c r="H7" s="6">
        <v>15</v>
      </c>
      <c r="I7" s="6" t="s">
        <v>49</v>
      </c>
      <c r="J7" s="6" t="s">
        <v>64</v>
      </c>
      <c r="K7" s="6" t="s">
        <v>65</v>
      </c>
    </row>
    <row r="8" spans="1:11" x14ac:dyDescent="0.3">
      <c r="A8" s="5">
        <v>6</v>
      </c>
      <c r="B8" s="6" t="s">
        <v>66</v>
      </c>
      <c r="C8" s="6">
        <f>SUM(Table23[[#This Row],[Column7]:[Column8]])</f>
        <v>40</v>
      </c>
      <c r="D8" s="6" t="s">
        <v>11</v>
      </c>
      <c r="E8" s="6" t="s">
        <v>31</v>
      </c>
      <c r="F8" s="6" t="s">
        <v>13</v>
      </c>
      <c r="G8" s="6">
        <v>20</v>
      </c>
      <c r="H8" s="6">
        <v>20</v>
      </c>
      <c r="I8" s="6" t="s">
        <v>55</v>
      </c>
      <c r="J8" s="6" t="s">
        <v>67</v>
      </c>
      <c r="K8" s="6" t="s">
        <v>68</v>
      </c>
    </row>
    <row r="9" spans="1:11" x14ac:dyDescent="0.3">
      <c r="A9" s="5">
        <v>7</v>
      </c>
      <c r="B9" s="6" t="s">
        <v>69</v>
      </c>
      <c r="C9" s="6">
        <f>SUM(Table23[[#This Row],[Column7]:[Column8]])</f>
        <v>2690</v>
      </c>
      <c r="D9" s="6" t="s">
        <v>11</v>
      </c>
      <c r="E9" s="6" t="s">
        <v>17</v>
      </c>
      <c r="F9" s="6" t="s">
        <v>18</v>
      </c>
      <c r="G9" s="6">
        <v>2152</v>
      </c>
      <c r="H9" s="6">
        <v>538</v>
      </c>
      <c r="I9" s="6" t="s">
        <v>70</v>
      </c>
      <c r="J9" s="6" t="s">
        <v>71</v>
      </c>
      <c r="K9" s="6" t="s">
        <v>72</v>
      </c>
    </row>
    <row r="10" spans="1:11" x14ac:dyDescent="0.3">
      <c r="A10" s="5">
        <v>8</v>
      </c>
      <c r="B10" s="6" t="s">
        <v>73</v>
      </c>
      <c r="C10" s="6">
        <f>SUM(Table23[[#This Row],[Column7]:[Column8]])</f>
        <v>50</v>
      </c>
      <c r="D10" s="6" t="s">
        <v>11</v>
      </c>
      <c r="E10" s="6" t="s">
        <v>74</v>
      </c>
      <c r="F10" s="6" t="s">
        <v>18</v>
      </c>
      <c r="G10" s="6">
        <v>25</v>
      </c>
      <c r="H10" s="6">
        <v>25</v>
      </c>
      <c r="I10" s="6" t="s">
        <v>75</v>
      </c>
      <c r="J10" s="6" t="s">
        <v>76</v>
      </c>
      <c r="K10" s="6" t="s">
        <v>77</v>
      </c>
    </row>
    <row r="11" spans="1:11" x14ac:dyDescent="0.3">
      <c r="A11" s="5">
        <v>9</v>
      </c>
      <c r="B11" s="6" t="s">
        <v>78</v>
      </c>
      <c r="C11" s="6">
        <f>SUM(Table23[[#This Row],[Column7]:[Column8]])</f>
        <v>145</v>
      </c>
      <c r="D11" s="6" t="s">
        <v>11</v>
      </c>
      <c r="E11" s="6" t="s">
        <v>31</v>
      </c>
      <c r="F11" s="6" t="s">
        <v>18</v>
      </c>
      <c r="G11" s="6">
        <v>29</v>
      </c>
      <c r="H11" s="6">
        <v>116</v>
      </c>
      <c r="I11" s="6" t="s">
        <v>55</v>
      </c>
      <c r="J11" s="6" t="s">
        <v>79</v>
      </c>
      <c r="K11" s="6" t="s">
        <v>80</v>
      </c>
    </row>
    <row r="12" spans="1:11" x14ac:dyDescent="0.3">
      <c r="A12" s="5">
        <v>10</v>
      </c>
      <c r="B12" s="6" t="s">
        <v>81</v>
      </c>
      <c r="C12" s="6">
        <f>SUM(Table23[[#This Row],[Column7]:[Column8]])</f>
        <v>143</v>
      </c>
      <c r="D12" s="6" t="s">
        <v>11</v>
      </c>
      <c r="E12" s="6" t="s">
        <v>31</v>
      </c>
      <c r="F12" s="6" t="s">
        <v>13</v>
      </c>
      <c r="G12" s="6">
        <v>51</v>
      </c>
      <c r="H12" s="6">
        <v>92</v>
      </c>
      <c r="I12" s="6" t="s">
        <v>82</v>
      </c>
      <c r="J12" s="6" t="s">
        <v>83</v>
      </c>
      <c r="K12" s="6" t="s">
        <v>84</v>
      </c>
    </row>
    <row r="13" spans="1:11" x14ac:dyDescent="0.3">
      <c r="A13" s="5">
        <v>11</v>
      </c>
      <c r="B13" s="6" t="s">
        <v>85</v>
      </c>
      <c r="C13" s="6">
        <f>SUM(Table23[[#This Row],[Column7]:[Column8]])</f>
        <v>24</v>
      </c>
      <c r="D13" s="6" t="s">
        <v>11</v>
      </c>
      <c r="E13" s="6" t="s">
        <v>31</v>
      </c>
      <c r="F13" s="6" t="s">
        <v>18</v>
      </c>
      <c r="G13" s="6">
        <v>10</v>
      </c>
      <c r="H13" s="6">
        <v>14</v>
      </c>
      <c r="I13" s="6" t="s">
        <v>86</v>
      </c>
      <c r="J13" s="6" t="s">
        <v>87</v>
      </c>
      <c r="K13" s="6" t="s">
        <v>88</v>
      </c>
    </row>
    <row r="14" spans="1:11" x14ac:dyDescent="0.3">
      <c r="A14" s="5">
        <v>12</v>
      </c>
      <c r="B14" s="9" t="s">
        <v>89</v>
      </c>
      <c r="C14" s="6">
        <f>SUM(Table23[[#This Row],[Column7]:[Column8]])</f>
        <v>100</v>
      </c>
      <c r="D14" s="9" t="s">
        <v>11</v>
      </c>
      <c r="E14" s="9" t="s">
        <v>17</v>
      </c>
      <c r="F14" s="9" t="s">
        <v>18</v>
      </c>
      <c r="G14" s="9">
        <v>20</v>
      </c>
      <c r="H14" s="9">
        <v>80</v>
      </c>
      <c r="I14" s="9" t="s">
        <v>90</v>
      </c>
      <c r="J14" s="9" t="s">
        <v>35</v>
      </c>
      <c r="K14" s="9" t="s">
        <v>36</v>
      </c>
    </row>
    <row r="15" spans="1:11" x14ac:dyDescent="0.3">
      <c r="A15" s="8"/>
      <c r="B15" s="9"/>
      <c r="C15" s="9">
        <f>SUM(Table23[Column3])</f>
        <v>3771</v>
      </c>
      <c r="D15" s="9"/>
      <c r="E15" s="9"/>
      <c r="F15" s="9"/>
      <c r="G15" s="9">
        <f>SUM(Table23[Column7])</f>
        <v>2558</v>
      </c>
      <c r="H15" s="9">
        <f>SUM(Table23[Column8])</f>
        <v>1213</v>
      </c>
      <c r="I15" s="9"/>
      <c r="J15" s="9"/>
      <c r="K15" s="9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ST16A</vt:lpstr>
      <vt:lpstr>ST16B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2026-07-18T11:59:44Z</dcterms:created>
  <dcterms:modified xsi:type="dcterms:W3CDTF">2026-08-16T07:08:11Z</dcterms:modified>
</cp:coreProperties>
</file>