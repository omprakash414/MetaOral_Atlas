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6C2AB835-A5EC-4E0B-B2B8-D53B289866BF}" xr6:coauthVersionLast="47" xr6:coauthVersionMax="47" xr10:uidLastSave="{00000000-0000-0000-0000-000000000000}"/>
  <bookViews>
    <workbookView xWindow="-108" yWindow="-108" windowWidth="23256" windowHeight="12456" xr2:uid="{6BDCCD4D-B6BD-48CE-A5AA-C807FB31EDC1}"/>
  </bookViews>
  <sheets>
    <sheet name="Legends" sheetId="3" r:id="rId1"/>
    <sheet name="ST28A" sheetId="1" r:id="rId2"/>
    <sheet name="ST28B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5" i="2" s="1"/>
  <c r="G5" i="2"/>
  <c r="H5" i="2"/>
  <c r="C13" i="1"/>
</calcChain>
</file>

<file path=xl/sharedStrings.xml><?xml version="1.0" encoding="utf-8"?>
<sst xmlns="http://schemas.openxmlformats.org/spreadsheetml/2006/main" count="102" uniqueCount="59">
  <si>
    <t>Study Name</t>
  </si>
  <si>
    <t>Sample Size</t>
  </si>
  <si>
    <t>Oral-Subsite</t>
  </si>
  <si>
    <t>Country</t>
  </si>
  <si>
    <t>Sequencing Strategy</t>
  </si>
  <si>
    <t>Control Samples</t>
  </si>
  <si>
    <t>Disease Samples</t>
  </si>
  <si>
    <t>Diseases</t>
  </si>
  <si>
    <t>Accession No.</t>
  </si>
  <si>
    <t>DOI</t>
  </si>
  <si>
    <t>BassisC_2014_exposure</t>
  </si>
  <si>
    <t>buccal_palate_other_surface_subsite</t>
  </si>
  <si>
    <t>USA</t>
  </si>
  <si>
    <t>16s</t>
  </si>
  <si>
    <t>PRJNA248297</t>
  </si>
  <si>
    <t>https://doi.org/10.1186/2049-2618-2-27</t>
  </si>
  <si>
    <t>BurchamZ_2020</t>
  </si>
  <si>
    <t>PRJEB33119</t>
  </si>
  <si>
    <t>https://doi.org/10.1038/s41598-020-59016-0</t>
  </si>
  <si>
    <t>CaselliE_2020</t>
  </si>
  <si>
    <t>ITA</t>
  </si>
  <si>
    <t>WGS</t>
  </si>
  <si>
    <t>PRJEB36291</t>
  </si>
  <si>
    <t>https://doi.org/10.1186/s12866-020-01801-y</t>
  </si>
  <si>
    <t>HMP_2012</t>
  </si>
  <si>
    <t>https://doi.org/10.1038/nature11234</t>
  </si>
  <si>
    <t>JulianM_2017_exposure</t>
  </si>
  <si>
    <t>PRJNA330897</t>
  </si>
  <si>
    <t>http://dx.doi.org/10.1097/MD.0000000000005821</t>
  </si>
  <si>
    <t>StewartC_2018_exposure</t>
  </si>
  <si>
    <t>PRJNA413706</t>
  </si>
  <si>
    <t>https://doi.org/10.7717/peerj.4693</t>
  </si>
  <si>
    <t>ThomasA_2014_exposure</t>
  </si>
  <si>
    <t>BRA</t>
  </si>
  <si>
    <t>PRJNA255332</t>
  </si>
  <si>
    <t>https://doi.org/10.1186/s12866-014-0250-2</t>
  </si>
  <si>
    <t>YuG_2016</t>
  </si>
  <si>
    <t>PRJNA316469</t>
  </si>
  <si>
    <t>https://doi.org/10.1158/1055-9965.EPI-16-0538</t>
  </si>
  <si>
    <t>YuG_2016_exposure</t>
  </si>
  <si>
    <t>StehlikovaZ_2019</t>
  </si>
  <si>
    <t>CZE</t>
  </si>
  <si>
    <t>Apthous_Infl_Variants</t>
  </si>
  <si>
    <t>PRJNA521448</t>
  </si>
  <si>
    <t>https://doi.org/10.3390/microorganisms7120636</t>
  </si>
  <si>
    <t>JulianM_2017</t>
  </si>
  <si>
    <t>HIV</t>
  </si>
  <si>
    <r>
      <t xml:space="preserve">Details of the </t>
    </r>
    <r>
      <rPr>
        <b/>
        <sz val="12"/>
        <color theme="5" tint="-0.249977111117893"/>
        <rFont val="Calibri"/>
        <family val="2"/>
        <scheme val="minor"/>
      </rPr>
      <t>10 Buccal-Palate Other-Surface study cohorts</t>
    </r>
    <r>
      <rPr>
        <b/>
        <sz val="12"/>
        <color theme="1"/>
        <rFont val="Calibri"/>
        <family val="2"/>
        <scheme val="minor"/>
      </rPr>
      <t xml:space="preserve"> used for Core-Association Score (</t>
    </r>
    <r>
      <rPr>
        <b/>
        <sz val="12"/>
        <color theme="5" tint="-0.249977111117893"/>
        <rFont val="Calibri"/>
        <family val="2"/>
        <scheme val="minor"/>
      </rPr>
      <t>CS</t>
    </r>
    <r>
      <rPr>
        <b/>
        <sz val="12"/>
        <color theme="1"/>
        <rFont val="Calibri"/>
        <family val="2"/>
        <scheme val="minor"/>
      </rPr>
      <t>) computation</t>
    </r>
  </si>
  <si>
    <r>
      <t xml:space="preserve">Details of the </t>
    </r>
    <r>
      <rPr>
        <b/>
        <sz val="12"/>
        <color theme="5" tint="-0.249977111117893"/>
        <rFont val="Calibri"/>
        <family val="2"/>
        <scheme val="minor"/>
      </rPr>
      <t>2 Buccal-Palate Other-Surface study cohorts</t>
    </r>
  </si>
  <si>
    <t>Table Number</t>
  </si>
  <si>
    <t>In short</t>
  </si>
  <si>
    <t>Description</t>
  </si>
  <si>
    <t>Table S28A</t>
  </si>
  <si>
    <t>ST28A</t>
  </si>
  <si>
    <t>Table S28B</t>
  </si>
  <si>
    <t>ST28B</t>
  </si>
  <si>
    <r>
      <t xml:space="preserve">Buccal-palate-other surface control cohorts used for Core-Association Score computation.
</t>
    </r>
    <r>
      <rPr>
        <sz val="11"/>
        <color theme="1"/>
        <rFont val="Calibri"/>
        <family val="2"/>
        <scheme val="minor"/>
      </rPr>
      <t>Details of 10 non-diseased buccal-palate-other surface study cohorts used for Core-Association Score computation, including study cohort information, sequencing strategy, country, sample count, and study-wise core-associated taxa.</t>
    </r>
  </si>
  <si>
    <r>
      <rPr>
        <sz val="11"/>
        <color theme="5" tint="-0.249977111117893"/>
        <rFont val="Calibri"/>
        <family val="2"/>
        <scheme val="minor"/>
      </rPr>
      <t xml:space="preserve">Matched buccal-palate-other surface case-control cohorts used for disease-control association analysis.
</t>
    </r>
    <r>
      <rPr>
        <sz val="11"/>
        <color theme="1"/>
        <rFont val="Calibri"/>
        <family val="2"/>
        <scheme val="minor"/>
      </rPr>
      <t>Details of the two matched buccal-palate-other surface disease-control cohorts used for cohort-wise disease-control association analysis, including control and diseased sample counts, country, sequencing strategy, and disease category information.</t>
    </r>
  </si>
  <si>
    <t>Table S28: Buccal-palate-other surface control and matched case-control cohorts used for Core-Association and disease-control association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</si>
</sst>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67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6ADFB-B4A9-4750-836F-C41AE5F0BADF}" name="Table3" displayName="Table3" ref="A3:H13" headerRowCount="0" totalsRowCount="1" headerRowDxfId="66" dataDxfId="64" headerRowBorderDxfId="65" tableBorderDxfId="63" totalsRowBorderDxfId="62">
  <tableColumns count="8">
    <tableColumn id="1" xr3:uid="{69100285-BC40-4504-B38F-93E0C52A195E}" name="Column1" headerRowDxfId="61" dataDxfId="60" totalsRowDxfId="59"/>
    <tableColumn id="2" xr3:uid="{75AD91DD-5B88-4D24-8739-B58B1F295583}" name="Column2" headerRowDxfId="58" dataDxfId="57" totalsRowDxfId="56"/>
    <tableColumn id="3" xr3:uid="{97308186-7F42-4E69-B66C-ED72CC1CB0DD}" name="Column3" totalsRowFunction="custom" headerRowDxfId="55" dataDxfId="54" totalsRowDxfId="53">
      <totalsRowFormula>SUM(Table3[Column3])</totalsRowFormula>
    </tableColumn>
    <tableColumn id="4" xr3:uid="{078FFF56-B9FA-4BE5-94DB-6EE047B6AB40}" name="Column4" headerRowDxfId="52" dataDxfId="51" totalsRowDxfId="50"/>
    <tableColumn id="5" xr3:uid="{BA3D4ADE-2F14-4F63-ADDD-7E39A4530275}" name="Column5" headerRowDxfId="49" dataDxfId="48" totalsRowDxfId="47"/>
    <tableColumn id="6" xr3:uid="{F6F3C6BD-55E5-472E-AE06-1DE9A86DDE6B}" name="Column6" headerRowDxfId="46" dataDxfId="45" totalsRowDxfId="44"/>
    <tableColumn id="14" xr3:uid="{079657C0-509F-4EA6-A149-37AAB43672D5}" name="Column14" headerRowDxfId="43" dataDxfId="42" totalsRowDxfId="41"/>
    <tableColumn id="15" xr3:uid="{4A9D621A-7E88-4584-AC5D-44C2BB298BBA}" name="Column15" headerRowDxfId="40" dataDxfId="39" totalsRow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8E298-EB3C-4433-BF3F-DD1420C41140}" name="Table33" displayName="Table33" ref="A3:K5" headerRowCount="0" totalsRowCount="1" headerRowDxfId="37" dataDxfId="35" headerRowBorderDxfId="36" tableBorderDxfId="34" totalsRowBorderDxfId="33">
  <tableColumns count="11">
    <tableColumn id="1" xr3:uid="{48768933-ADAF-4666-BE8B-D67D36A099BA}" name="Column1" headerRowDxfId="32" dataDxfId="31" totalsRowDxfId="30"/>
    <tableColumn id="2" xr3:uid="{89FD506A-3597-415B-AE24-786E61553113}" name="Column2" headerRowDxfId="29" dataDxfId="28" totalsRowDxfId="27"/>
    <tableColumn id="3" xr3:uid="{07D8270A-7DEB-4667-95EA-D1AB5D854AC3}" name="Column3" totalsRowFunction="custom" headerRowDxfId="26" dataDxfId="25" totalsRowDxfId="24">
      <calculatedColumnFormula>SUM(Table33[[#This Row],[Column7]:[Column8]])</calculatedColumnFormula>
      <totalsRowFormula>SUM(Table33[Column3])</totalsRowFormula>
    </tableColumn>
    <tableColumn id="4" xr3:uid="{0D9BC804-78F4-4C7D-93E6-6C794839F381}" name="Column4" headerRowDxfId="23" dataDxfId="22" totalsRowDxfId="21"/>
    <tableColumn id="5" xr3:uid="{81214B63-6470-453C-806B-6DE317153EEC}" name="Column5" headerRowDxfId="20" dataDxfId="19" totalsRowDxfId="18"/>
    <tableColumn id="6" xr3:uid="{A2C0E7C4-CC4A-4CC2-A12F-3B6CC3BFD46F}" name="Column6" headerRowDxfId="17" dataDxfId="16" totalsRowDxfId="15"/>
    <tableColumn id="7" xr3:uid="{E56FE879-607F-44E6-A694-6BEDDD530B45}" name="Column7" totalsRowFunction="custom" headerRowDxfId="14" dataDxfId="13" totalsRowDxfId="12">
      <totalsRowFormula>SUM(Table33[Column7])</totalsRowFormula>
    </tableColumn>
    <tableColumn id="8" xr3:uid="{49A85DD6-7AD4-458A-BF7A-0E6C291DC86A}" name="Column8" totalsRowFunction="custom" headerRowDxfId="11" dataDxfId="10" totalsRowDxfId="9">
      <totalsRowFormula>SUM(Table33[Column8])</totalsRowFormula>
    </tableColumn>
    <tableColumn id="10" xr3:uid="{31BE667B-1D1A-4B7D-B493-E4068287C37D}" name="Column10" headerRowDxfId="8" dataDxfId="7" totalsRowDxfId="6"/>
    <tableColumn id="14" xr3:uid="{533E84CC-4FA1-4595-8F34-010CBCD713C1}" name="Column14" headerRowDxfId="5" dataDxfId="4" totalsRowDxfId="3"/>
    <tableColumn id="15" xr3:uid="{F709A5F0-A153-496F-B088-4720BA02FA9B}" name="Column15" headerRowDxfId="2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1A8C-2A98-4027-B60D-34DDB89C79D9}">
  <dimension ref="A1:C5"/>
  <sheetViews>
    <sheetView tabSelected="1" workbookViewId="0">
      <selection activeCell="E8" sqref="E8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14" t="s">
        <v>58</v>
      </c>
      <c r="B1" s="15"/>
      <c r="C1" s="15"/>
    </row>
    <row r="2" spans="1:3" ht="28.2" customHeight="1" x14ac:dyDescent="0.3">
      <c r="A2" s="15"/>
      <c r="B2" s="15"/>
      <c r="C2" s="15"/>
    </row>
    <row r="3" spans="1:3" x14ac:dyDescent="0.3">
      <c r="A3" s="5" t="s">
        <v>49</v>
      </c>
      <c r="B3" s="5" t="s">
        <v>50</v>
      </c>
      <c r="C3" s="5" t="s">
        <v>51</v>
      </c>
    </row>
    <row r="4" spans="1:3" ht="57.6" x14ac:dyDescent="0.3">
      <c r="A4" s="5" t="s">
        <v>52</v>
      </c>
      <c r="B4" s="5" t="s">
        <v>53</v>
      </c>
      <c r="C4" s="16" t="s">
        <v>56</v>
      </c>
    </row>
    <row r="5" spans="1:3" ht="72" x14ac:dyDescent="0.3">
      <c r="A5" s="5" t="s">
        <v>54</v>
      </c>
      <c r="B5" s="5" t="s">
        <v>55</v>
      </c>
      <c r="C5" s="17" t="s">
        <v>57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9BFF-22EF-4074-B68C-336362D6BFF6}">
  <dimension ref="A1:H13"/>
  <sheetViews>
    <sheetView workbookViewId="0">
      <selection activeCell="D17" sqref="D17"/>
    </sheetView>
  </sheetViews>
  <sheetFormatPr defaultRowHeight="14.4" x14ac:dyDescent="0.3"/>
  <cols>
    <col min="1" max="1" width="4.88671875" customWidth="1"/>
    <col min="2" max="2" width="22.44140625" style="8" customWidth="1"/>
    <col min="3" max="3" width="7.77734375" customWidth="1"/>
    <col min="4" max="4" width="23" bestFit="1" customWidth="1"/>
    <col min="5" max="5" width="8.33203125" style="8" customWidth="1"/>
    <col min="6" max="6" width="11.5546875" customWidth="1"/>
    <col min="7" max="7" width="12.6640625" style="8" bestFit="1" customWidth="1"/>
    <col min="8" max="8" width="45.33203125" customWidth="1"/>
  </cols>
  <sheetData>
    <row r="1" spans="1:8" ht="15.6" customHeight="1" x14ac:dyDescent="0.3">
      <c r="A1" s="13" t="s">
        <v>47</v>
      </c>
      <c r="B1" s="13"/>
      <c r="C1" s="13"/>
      <c r="D1" s="13"/>
      <c r="E1" s="13"/>
      <c r="F1" s="13"/>
      <c r="G1" s="13"/>
      <c r="H1" s="13"/>
    </row>
    <row r="2" spans="1:8" ht="28.8" x14ac:dyDescent="0.3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8</v>
      </c>
      <c r="H2" s="2" t="s">
        <v>9</v>
      </c>
    </row>
    <row r="3" spans="1:8" x14ac:dyDescent="0.3">
      <c r="A3" s="4">
        <v>1</v>
      </c>
      <c r="B3" s="5" t="s">
        <v>10</v>
      </c>
      <c r="C3" s="5">
        <v>12</v>
      </c>
      <c r="D3" s="6" t="s">
        <v>11</v>
      </c>
      <c r="E3" s="5" t="s">
        <v>12</v>
      </c>
      <c r="F3" s="5" t="s">
        <v>13</v>
      </c>
      <c r="G3" s="5" t="s">
        <v>14</v>
      </c>
      <c r="H3" s="7" t="s">
        <v>15</v>
      </c>
    </row>
    <row r="4" spans="1:8" x14ac:dyDescent="0.3">
      <c r="A4" s="4">
        <v>2</v>
      </c>
      <c r="B4" s="5" t="s">
        <v>16</v>
      </c>
      <c r="C4" s="5">
        <v>195</v>
      </c>
      <c r="D4" s="6" t="s">
        <v>11</v>
      </c>
      <c r="E4" s="5" t="s">
        <v>12</v>
      </c>
      <c r="F4" s="5" t="s">
        <v>13</v>
      </c>
      <c r="G4" s="5" t="s">
        <v>17</v>
      </c>
      <c r="H4" s="7" t="s">
        <v>18</v>
      </c>
    </row>
    <row r="5" spans="1:8" x14ac:dyDescent="0.3">
      <c r="A5" s="4">
        <v>3</v>
      </c>
      <c r="B5" s="5" t="s">
        <v>19</v>
      </c>
      <c r="C5" s="5">
        <v>40</v>
      </c>
      <c r="D5" s="6" t="s">
        <v>11</v>
      </c>
      <c r="E5" s="5" t="s">
        <v>20</v>
      </c>
      <c r="F5" s="5" t="s">
        <v>21</v>
      </c>
      <c r="G5" s="5" t="s">
        <v>22</v>
      </c>
      <c r="H5" s="7" t="s">
        <v>23</v>
      </c>
    </row>
    <row r="6" spans="1:8" x14ac:dyDescent="0.3">
      <c r="A6" s="4">
        <v>4</v>
      </c>
      <c r="B6" s="5" t="s">
        <v>24</v>
      </c>
      <c r="C6" s="5">
        <v>120</v>
      </c>
      <c r="D6" s="6" t="s">
        <v>11</v>
      </c>
      <c r="E6" s="5" t="s">
        <v>12</v>
      </c>
      <c r="F6" s="5" t="s">
        <v>21</v>
      </c>
      <c r="G6" s="5"/>
      <c r="H6" s="7" t="s">
        <v>25</v>
      </c>
    </row>
    <row r="7" spans="1:8" x14ac:dyDescent="0.3">
      <c r="A7" s="4">
        <v>5</v>
      </c>
      <c r="B7" s="5" t="s">
        <v>26</v>
      </c>
      <c r="C7" s="5">
        <v>20</v>
      </c>
      <c r="D7" s="6" t="s">
        <v>11</v>
      </c>
      <c r="E7" s="5" t="s">
        <v>12</v>
      </c>
      <c r="F7" s="5" t="s">
        <v>13</v>
      </c>
      <c r="G7" s="5" t="s">
        <v>27</v>
      </c>
      <c r="H7" s="7" t="s">
        <v>28</v>
      </c>
    </row>
    <row r="8" spans="1:8" x14ac:dyDescent="0.3">
      <c r="A8" s="4">
        <v>6</v>
      </c>
      <c r="B8" s="5" t="s">
        <v>29</v>
      </c>
      <c r="C8" s="5">
        <v>10</v>
      </c>
      <c r="D8" s="6" t="s">
        <v>11</v>
      </c>
      <c r="E8" s="5" t="s">
        <v>12</v>
      </c>
      <c r="F8" s="5" t="s">
        <v>13</v>
      </c>
      <c r="G8" s="5" t="s">
        <v>30</v>
      </c>
      <c r="H8" s="7" t="s">
        <v>31</v>
      </c>
    </row>
    <row r="9" spans="1:8" x14ac:dyDescent="0.3">
      <c r="A9" s="4">
        <v>7</v>
      </c>
      <c r="B9" s="5" t="s">
        <v>32</v>
      </c>
      <c r="C9" s="5">
        <v>19</v>
      </c>
      <c r="D9" s="6" t="s">
        <v>11</v>
      </c>
      <c r="E9" s="5" t="s">
        <v>33</v>
      </c>
      <c r="F9" s="5" t="s">
        <v>13</v>
      </c>
      <c r="G9" s="5" t="s">
        <v>34</v>
      </c>
      <c r="H9" s="7" t="s">
        <v>35</v>
      </c>
    </row>
    <row r="10" spans="1:8" x14ac:dyDescent="0.3">
      <c r="A10" s="4">
        <v>8</v>
      </c>
      <c r="B10" s="5" t="s">
        <v>36</v>
      </c>
      <c r="C10" s="5">
        <v>30</v>
      </c>
      <c r="D10" s="6" t="s">
        <v>11</v>
      </c>
      <c r="E10" s="5" t="s">
        <v>12</v>
      </c>
      <c r="F10" s="5" t="s">
        <v>13</v>
      </c>
      <c r="G10" s="5" t="s">
        <v>37</v>
      </c>
      <c r="H10" s="7" t="s">
        <v>38</v>
      </c>
    </row>
    <row r="11" spans="1:8" x14ac:dyDescent="0.3">
      <c r="A11" s="4">
        <v>9</v>
      </c>
      <c r="B11" s="5" t="s">
        <v>39</v>
      </c>
      <c r="C11" s="5">
        <v>41</v>
      </c>
      <c r="D11" s="6" t="s">
        <v>11</v>
      </c>
      <c r="E11" s="5" t="s">
        <v>12</v>
      </c>
      <c r="F11" s="5" t="s">
        <v>13</v>
      </c>
      <c r="G11" s="5" t="s">
        <v>37</v>
      </c>
      <c r="H11" s="7" t="s">
        <v>38</v>
      </c>
    </row>
    <row r="12" spans="1:8" x14ac:dyDescent="0.3">
      <c r="A12" s="4">
        <v>10</v>
      </c>
      <c r="B12" s="5" t="s">
        <v>40</v>
      </c>
      <c r="C12" s="5">
        <v>34</v>
      </c>
      <c r="D12" s="6" t="s">
        <v>11</v>
      </c>
      <c r="E12" s="5" t="s">
        <v>41</v>
      </c>
      <c r="F12" s="5" t="s">
        <v>13</v>
      </c>
      <c r="G12" s="5" t="s">
        <v>43</v>
      </c>
      <c r="H12" s="7" t="s">
        <v>44</v>
      </c>
    </row>
    <row r="13" spans="1:8" x14ac:dyDescent="0.3">
      <c r="A13" s="9"/>
      <c r="B13" s="10"/>
      <c r="C13" s="10">
        <f>SUM(Table3[Column3])</f>
        <v>521</v>
      </c>
      <c r="D13" s="11"/>
      <c r="E13" s="10"/>
      <c r="F13" s="10"/>
      <c r="G13" s="10"/>
      <c r="H13" s="1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B1DE-6EAD-4882-8E5D-80045E71C342}">
  <dimension ref="A1:K5"/>
  <sheetViews>
    <sheetView workbookViewId="0">
      <selection activeCell="E18" sqref="E18"/>
    </sheetView>
  </sheetViews>
  <sheetFormatPr defaultRowHeight="14.4" x14ac:dyDescent="0.3"/>
  <cols>
    <col min="1" max="1" width="4.88671875" customWidth="1"/>
    <col min="2" max="2" width="22.44140625" style="8" customWidth="1"/>
    <col min="3" max="3" width="7.77734375" customWidth="1"/>
    <col min="4" max="4" width="15.77734375" customWidth="1"/>
    <col min="5" max="5" width="8.33203125" style="8" customWidth="1"/>
    <col min="6" max="6" width="11.5546875" customWidth="1"/>
    <col min="7" max="8" width="10.109375" customWidth="1"/>
    <col min="9" max="9" width="17.77734375" customWidth="1"/>
    <col min="10" max="10" width="12.6640625" style="8" bestFit="1" customWidth="1"/>
    <col min="11" max="11" width="48.33203125" customWidth="1"/>
  </cols>
  <sheetData>
    <row r="1" spans="1:11" ht="15.6" customHeight="1" x14ac:dyDescent="0.3">
      <c r="A1" s="13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8.8" x14ac:dyDescent="0.3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2" t="s">
        <v>8</v>
      </c>
      <c r="K2" s="2" t="s">
        <v>9</v>
      </c>
    </row>
    <row r="3" spans="1:11" x14ac:dyDescent="0.3">
      <c r="A3" s="4">
        <v>1</v>
      </c>
      <c r="B3" s="5" t="s">
        <v>40</v>
      </c>
      <c r="C3" s="5">
        <f>SUM(Table33[[#This Row],[Column7]:[Column8]])</f>
        <v>175</v>
      </c>
      <c r="D3" s="6" t="s">
        <v>11</v>
      </c>
      <c r="E3" s="5" t="s">
        <v>41</v>
      </c>
      <c r="F3" s="5" t="s">
        <v>13</v>
      </c>
      <c r="G3" s="5">
        <v>34</v>
      </c>
      <c r="H3" s="5">
        <v>141</v>
      </c>
      <c r="I3" s="5" t="s">
        <v>42</v>
      </c>
      <c r="J3" s="5" t="s">
        <v>43</v>
      </c>
      <c r="K3" s="7" t="s">
        <v>44</v>
      </c>
    </row>
    <row r="4" spans="1:11" x14ac:dyDescent="0.3">
      <c r="A4" s="4">
        <v>2</v>
      </c>
      <c r="B4" s="5" t="s">
        <v>45</v>
      </c>
      <c r="C4" s="5">
        <f>SUM(Table33[[#This Row],[Column7]:[Column8]])</f>
        <v>100</v>
      </c>
      <c r="D4" s="6" t="s">
        <v>11</v>
      </c>
      <c r="E4" s="5" t="s">
        <v>12</v>
      </c>
      <c r="F4" s="5" t="s">
        <v>13</v>
      </c>
      <c r="G4" s="5">
        <v>20</v>
      </c>
      <c r="H4" s="5">
        <v>80</v>
      </c>
      <c r="I4" s="5" t="s">
        <v>46</v>
      </c>
      <c r="J4" s="5" t="s">
        <v>27</v>
      </c>
      <c r="K4" s="7" t="s">
        <v>28</v>
      </c>
    </row>
    <row r="5" spans="1:11" x14ac:dyDescent="0.3">
      <c r="A5" s="9"/>
      <c r="B5" s="10"/>
      <c r="C5" s="10">
        <f>SUM(Table33[Column3])</f>
        <v>275</v>
      </c>
      <c r="D5" s="10"/>
      <c r="E5" s="10"/>
      <c r="F5" s="10"/>
      <c r="G5" s="10">
        <f>SUM(Table33[Column7])</f>
        <v>54</v>
      </c>
      <c r="H5" s="10">
        <f>SUM(Table33[Column8])</f>
        <v>221</v>
      </c>
      <c r="I5" s="10"/>
      <c r="J5" s="10"/>
      <c r="K5" s="12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ST28A</vt:lpstr>
      <vt:lpstr>ST28B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2026-07-18T12:56:16Z</dcterms:created>
  <dcterms:modified xsi:type="dcterms:W3CDTF">2026-08-16T07:42:07Z</dcterms:modified>
</cp:coreProperties>
</file>