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1F5CBBDE-4EC7-4498-9B63-332106BC61AE}" xr6:coauthVersionLast="47" xr6:coauthVersionMax="47" xr10:uidLastSave="{00000000-0000-0000-0000-000000000000}"/>
  <bookViews>
    <workbookView xWindow="-108" yWindow="-108" windowWidth="23256" windowHeight="12456" xr2:uid="{B1BF1760-7A05-44A6-982D-F8E4260371F2}"/>
  </bookViews>
  <sheets>
    <sheet name="Legends" sheetId="3" r:id="rId1"/>
    <sheet name="ST18A" sheetId="1" r:id="rId2"/>
    <sheet name="ST18B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H7" i="2"/>
  <c r="C4" i="2"/>
  <c r="C5" i="2"/>
  <c r="C6" i="2"/>
  <c r="C3" i="2"/>
  <c r="C7" i="2" s="1"/>
  <c r="C21" i="1"/>
</calcChain>
</file>

<file path=xl/sharedStrings.xml><?xml version="1.0" encoding="utf-8"?>
<sst xmlns="http://schemas.openxmlformats.org/spreadsheetml/2006/main" count="164" uniqueCount="83">
  <si>
    <t>Study Name</t>
  </si>
  <si>
    <t>Sample Size</t>
  </si>
  <si>
    <t>Oral-Subsite</t>
  </si>
  <si>
    <t>Country</t>
  </si>
  <si>
    <t>Sequencing Strategy</t>
  </si>
  <si>
    <t>Control Samples</t>
  </si>
  <si>
    <t>Disease Samples</t>
  </si>
  <si>
    <t>Diseases</t>
  </si>
  <si>
    <t>Accession No.</t>
  </si>
  <si>
    <t>DOI</t>
  </si>
  <si>
    <t>BassisC_2014_exposure</t>
  </si>
  <si>
    <t>tongue_tonsil_subsite</t>
  </si>
  <si>
    <t>USA</t>
  </si>
  <si>
    <t>16s</t>
  </si>
  <si>
    <t>PRJNA248297</t>
  </si>
  <si>
    <t>https://doi.org/10.1186/2049-2618-2-27</t>
  </si>
  <si>
    <t>CaselliE_2020</t>
  </si>
  <si>
    <t>ITA</t>
  </si>
  <si>
    <t>WGS</t>
  </si>
  <si>
    <t>PRJEB36291</t>
  </si>
  <si>
    <t>https://doi.org/10.1186/s12866-020-01801-y</t>
  </si>
  <si>
    <t>FerrettiP_2018</t>
  </si>
  <si>
    <t>PRJNA352475</t>
  </si>
  <si>
    <t>https://doi.org/10.1016/j.chom.2018.06.005</t>
  </si>
  <si>
    <t>FloresG_2014</t>
  </si>
  <si>
    <t>PRJEB5726</t>
  </si>
  <si>
    <t>https://doi.org/10.1186/s13059-014-0531-y</t>
  </si>
  <si>
    <t>HMP_2012</t>
  </si>
  <si>
    <t>https://doi.org/10.1038/nature11234</t>
  </si>
  <si>
    <t>HalboubE_2020</t>
  </si>
  <si>
    <t>SAU</t>
  </si>
  <si>
    <t>PRJNA605810</t>
  </si>
  <si>
    <t>https://doi.org/10.1186/s12866-020-01883-8</t>
  </si>
  <si>
    <t>HalboubE_2020_exposure</t>
  </si>
  <si>
    <t>LarsonP_2022</t>
  </si>
  <si>
    <t>PRJNA699281</t>
  </si>
  <si>
    <t>https://doi.org/10.1038/s43587-022-00287-9</t>
  </si>
  <si>
    <t>MaruyamaH_2021</t>
  </si>
  <si>
    <t>JPN</t>
  </si>
  <si>
    <t>PRJDB10589</t>
  </si>
  <si>
    <t>https://doi.org/10.12688/f1000research.27502.2</t>
  </si>
  <si>
    <t>ShaiberA_2020a</t>
  </si>
  <si>
    <t>PRJNA625082</t>
  </si>
  <si>
    <t>https://doi.org/10.1186/s13059-020-02195-w</t>
  </si>
  <si>
    <t>ShaiberA_2020b</t>
  </si>
  <si>
    <t>WidyarmanA_2021</t>
  </si>
  <si>
    <t>IDN</t>
  </si>
  <si>
    <t>PRJNA745286</t>
  </si>
  <si>
    <t>https://doi.org/10.3389/froh.2021.738306</t>
  </si>
  <si>
    <t>YuG_2016</t>
  </si>
  <si>
    <t>PRJNA316469</t>
  </si>
  <si>
    <t>https://doi.org/10.1158/1055-9965.EPI-16-0538</t>
  </si>
  <si>
    <t>YuG_2016_exposure</t>
  </si>
  <si>
    <t>BelstromD_2021</t>
  </si>
  <si>
    <t>DNK</t>
  </si>
  <si>
    <t>Periodontitis</t>
  </si>
  <si>
    <t>PRJNA678453</t>
  </si>
  <si>
    <t>https://doi.org/10.1038/s41522-021-00247-y</t>
  </si>
  <si>
    <t>GalimanasV_2014</t>
  </si>
  <si>
    <t>PRJEB6047</t>
  </si>
  <si>
    <t>https://doi.org/10.1186/2049-2618-2-32</t>
  </si>
  <si>
    <t>SarkarP_2021</t>
  </si>
  <si>
    <t>IND</t>
  </si>
  <si>
    <t>Oral_SCC_Variants</t>
  </si>
  <si>
    <t>PRJNA666746</t>
  </si>
  <si>
    <t>https://doi.org/10.3389/fonc.2021.614448</t>
  </si>
  <si>
    <t>TangB_2023</t>
  </si>
  <si>
    <t>CHN</t>
  </si>
  <si>
    <t>IBS</t>
  </si>
  <si>
    <t>PRJNA873889</t>
  </si>
  <si>
    <t>https://doi.org/10.1016/j.heliyon.2023.e13224</t>
  </si>
  <si>
    <r>
      <rPr>
        <b/>
        <sz val="12"/>
        <rFont val="Calibri"/>
        <family val="2"/>
        <scheme val="minor"/>
      </rPr>
      <t xml:space="preserve">Details of the </t>
    </r>
    <r>
      <rPr>
        <b/>
        <sz val="12"/>
        <color theme="5" tint="-0.249977111117893"/>
        <rFont val="Calibri"/>
        <family val="2"/>
        <scheme val="minor"/>
      </rPr>
      <t>18 Tongue-Tonsil study cohorts</t>
    </r>
    <r>
      <rPr>
        <b/>
        <sz val="12"/>
        <rFont val="Calibri"/>
        <family val="2"/>
        <scheme val="minor"/>
      </rPr>
      <t xml:space="preserve"> used for Core-Association Score (</t>
    </r>
    <r>
      <rPr>
        <b/>
        <sz val="12"/>
        <color theme="5" tint="-0.249977111117893"/>
        <rFont val="Calibri"/>
        <family val="2"/>
        <scheme val="minor"/>
      </rPr>
      <t>CS</t>
    </r>
    <r>
      <rPr>
        <b/>
        <sz val="12"/>
        <rFont val="Calibri"/>
        <family val="2"/>
        <scheme val="minor"/>
      </rPr>
      <t>) computation</t>
    </r>
  </si>
  <si>
    <r>
      <t xml:space="preserve">Details of the </t>
    </r>
    <r>
      <rPr>
        <b/>
        <sz val="12"/>
        <color theme="5" tint="-0.249977111117893"/>
        <rFont val="Calibri"/>
        <family val="2"/>
        <scheme val="minor"/>
      </rPr>
      <t>4 Tongue-Tonsil study cohorts</t>
    </r>
    <r>
      <rPr>
        <b/>
        <sz val="12"/>
        <color theme="1"/>
        <rFont val="Calibri"/>
        <family val="2"/>
        <scheme val="minor"/>
      </rPr>
      <t xml:space="preserve"> used for Health-Association Score (</t>
    </r>
    <r>
      <rPr>
        <b/>
        <sz val="12"/>
        <color theme="5" tint="-0.249977111117893"/>
        <rFont val="Calibri"/>
        <family val="2"/>
        <scheme val="minor"/>
      </rPr>
      <t>HS</t>
    </r>
    <r>
      <rPr>
        <b/>
        <sz val="12"/>
        <color theme="1"/>
        <rFont val="Calibri"/>
        <family val="2"/>
        <scheme val="minor"/>
      </rPr>
      <t>) computation</t>
    </r>
  </si>
  <si>
    <t>Table Number</t>
  </si>
  <si>
    <t>In short</t>
  </si>
  <si>
    <t>Description</t>
  </si>
  <si>
    <t>Table S24A</t>
  </si>
  <si>
    <t>ST24A</t>
  </si>
  <si>
    <t>Table S24B</t>
  </si>
  <si>
    <t>ST24B</t>
  </si>
  <si>
    <t>Table S24: Tongue-tonsil control and matched case-control cohorts used for Core-Association Score (CS) and Health-Association Score (HS) computation</t>
  </si>
  <si>
    <r>
      <t xml:space="preserve">Tongue-tonsil control cohorts used for Core-Association Score computation:
</t>
    </r>
    <r>
      <rPr>
        <sz val="11"/>
        <color theme="1"/>
        <rFont val="Calibri"/>
        <family val="2"/>
        <scheme val="minor"/>
      </rPr>
      <t>Details of 18 non-diseased tongue-tonsil-related study cohorts used for Core-Association Score computation, including study cohort information, sequencing strategy, country, sample count, and study-wise core-associated taxa.</t>
    </r>
  </si>
  <si>
    <r>
      <rPr>
        <sz val="11"/>
        <color theme="5" tint="-0.249977111117893"/>
        <rFont val="Calibri"/>
        <family val="2"/>
        <scheme val="minor"/>
      </rPr>
      <t>Matched tongue-tonsil case-control cohorts used for Health-Association Score computation:</t>
    </r>
    <r>
      <rPr>
        <sz val="11"/>
        <color theme="1"/>
        <rFont val="Calibri"/>
        <family val="2"/>
        <scheme val="minor"/>
      </rPr>
      <t xml:space="preserve">
Details of matched tongue-tonsil-related case-control cohorts spanning 3 disease categories, including control and diseased sample counts, country, sequencing strategy, and disease category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</si>
</sst>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6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EB218-E898-47CA-BA00-577B5EE7ED83}" name="Table5" displayName="Table5" ref="A3:H21" headerRowCount="0" totalsRowCount="1" headerRowDxfId="66" dataDxfId="64" headerRowBorderDxfId="65" tableBorderDxfId="63" totalsRowBorderDxfId="62">
  <tableColumns count="8">
    <tableColumn id="1" xr3:uid="{EEBC26DC-7AA6-4A13-A9AE-F0C9216C046A}" name="Column1" headerRowDxfId="61" dataDxfId="60" totalsRowDxfId="59"/>
    <tableColumn id="2" xr3:uid="{C3A801E6-3BA9-4C8A-855E-D5E4C030ADEB}" name="Column2" headerRowDxfId="58" dataDxfId="57" totalsRowDxfId="56"/>
    <tableColumn id="3" xr3:uid="{B87CA82D-2C9A-4587-A29A-99B3D70E5FBD}" name="Column3" totalsRowFunction="custom" headerRowDxfId="55" dataDxfId="54" totalsRowDxfId="53">
      <totalsRowFormula>SUM(Table5[Column3])</totalsRowFormula>
    </tableColumn>
    <tableColumn id="4" xr3:uid="{059B13BF-B866-4720-B7EA-937290978E24}" name="Column4" headerRowDxfId="52" dataDxfId="51" totalsRowDxfId="50"/>
    <tableColumn id="5" xr3:uid="{905886D0-2779-4273-8D1E-ED9ED38B3DEF}" name="Column5" headerRowDxfId="49" dataDxfId="48" totalsRowDxfId="47"/>
    <tableColumn id="6" xr3:uid="{A3B3F977-B002-4C32-B340-9B72F71B0AE3}" name="Column6" headerRowDxfId="46" dataDxfId="45" totalsRowDxfId="44"/>
    <tableColumn id="14" xr3:uid="{DF57898C-D2F8-4481-B847-25D4CB27D2BC}" name="Column14" headerRowDxfId="43" dataDxfId="42" totalsRowDxfId="41"/>
    <tableColumn id="15" xr3:uid="{85E29F8D-ABBD-4B75-828E-FDE4E6270D5B}" name="Column15" headerRowDxfId="40" dataDxfId="39" totalsRow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446A72-C0E0-4F63-87EF-64E3A16BF582}" name="Table53" displayName="Table53" ref="A3:K7" headerRowCount="0" totalsRowCount="1" headerRowDxfId="37" dataDxfId="35" headerRowBorderDxfId="36" tableBorderDxfId="34" totalsRowBorderDxfId="33">
  <tableColumns count="11">
    <tableColumn id="1" xr3:uid="{ABEEDCF6-F13A-443C-8AAF-F4C6A899A5E6}" name="Column1" headerRowDxfId="32" dataDxfId="31" totalsRowDxfId="30"/>
    <tableColumn id="2" xr3:uid="{CCE537AB-A851-477D-AE80-EC469A4BFADE}" name="Column2" headerRowDxfId="29" dataDxfId="28" totalsRowDxfId="27"/>
    <tableColumn id="3" xr3:uid="{27312FA6-F962-4BC2-9596-D9F388A8C81E}" name="Column3" totalsRowFunction="custom" headerRowDxfId="26" dataDxfId="25" totalsRowDxfId="24">
      <calculatedColumnFormula>SUM(Table53[[#This Row],[Column7]:[Column8]])</calculatedColumnFormula>
      <totalsRowFormula>SUM(Table53[Column3])</totalsRowFormula>
    </tableColumn>
    <tableColumn id="4" xr3:uid="{1D94879D-6F23-4BEE-894B-564ECBA9EC03}" name="Column4" headerRowDxfId="23" dataDxfId="22" totalsRowDxfId="21"/>
    <tableColumn id="5" xr3:uid="{CD5AF3D7-7AA9-440B-92F6-3BB0F8AB8E95}" name="Column5" headerRowDxfId="20" dataDxfId="19" totalsRowDxfId="18"/>
    <tableColumn id="6" xr3:uid="{A71F5EA5-D47E-45BD-A0D6-B6179CB9865C}" name="Column6" headerRowDxfId="17" dataDxfId="16" totalsRowDxfId="15"/>
    <tableColumn id="7" xr3:uid="{F290EAEA-1FD0-4BE7-98FF-E12051B1A257}" name="Column7" totalsRowFunction="custom" headerRowDxfId="14" dataDxfId="13" totalsRowDxfId="12">
      <totalsRowFormula>SUM(Table53[Column7])</totalsRowFormula>
    </tableColumn>
    <tableColumn id="8" xr3:uid="{14D572E2-0F66-414F-81CD-775245BD4868}" name="Column8" totalsRowFunction="custom" headerRowDxfId="11" dataDxfId="10" totalsRowDxfId="9">
      <totalsRowFormula>SUM(Table53[Column8])</totalsRowFormula>
    </tableColumn>
    <tableColumn id="10" xr3:uid="{FCF0992F-85C5-4553-9F7F-DEFCE77A5763}" name="Column10" headerRowDxfId="8" dataDxfId="7" totalsRowDxfId="6"/>
    <tableColumn id="14" xr3:uid="{1395FAF2-48F2-4407-87F5-775EB3F9EB99}" name="Column14" headerRowDxfId="5" dataDxfId="4" totalsRowDxfId="3"/>
    <tableColumn id="15" xr3:uid="{F8DBAB52-03B5-420C-AB69-EE35EE03B956}" name="Column15" headerRowDxfId="2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8AF8-53F3-4715-920D-3691E03C4DC9}">
  <dimension ref="A1:C5"/>
  <sheetViews>
    <sheetView tabSelected="1" workbookViewId="0">
      <selection activeCell="C15" sqref="C15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2" t="s">
        <v>80</v>
      </c>
      <c r="B1" s="13"/>
      <c r="C1" s="13"/>
    </row>
    <row r="2" spans="1:3" ht="28.2" customHeight="1" x14ac:dyDescent="0.3">
      <c r="A2" s="13"/>
      <c r="B2" s="13"/>
      <c r="C2" s="13"/>
    </row>
    <row r="3" spans="1:3" x14ac:dyDescent="0.3">
      <c r="A3" s="4" t="s">
        <v>73</v>
      </c>
      <c r="B3" s="4" t="s">
        <v>74</v>
      </c>
      <c r="C3" s="4" t="s">
        <v>75</v>
      </c>
    </row>
    <row r="4" spans="1:3" ht="57.6" x14ac:dyDescent="0.3">
      <c r="A4" s="4" t="s">
        <v>76</v>
      </c>
      <c r="B4" s="4" t="s">
        <v>77</v>
      </c>
      <c r="C4" s="14" t="s">
        <v>81</v>
      </c>
    </row>
    <row r="5" spans="1:3" ht="57.6" x14ac:dyDescent="0.3">
      <c r="A5" s="4" t="s">
        <v>78</v>
      </c>
      <c r="B5" s="4" t="s">
        <v>79</v>
      </c>
      <c r="C5" s="15" t="s">
        <v>82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A339-84E4-4CF0-A85F-6A5EF1058545}">
  <dimension ref="A1:H21"/>
  <sheetViews>
    <sheetView workbookViewId="0">
      <selection activeCell="D14" sqref="D14"/>
    </sheetView>
  </sheetViews>
  <sheetFormatPr defaultRowHeight="14.4" x14ac:dyDescent="0.3"/>
  <cols>
    <col min="1" max="1" width="4.88671875" customWidth="1"/>
    <col min="2" max="2" width="23.21875" style="9" customWidth="1"/>
    <col min="3" max="3" width="8.21875" customWidth="1"/>
    <col min="4" max="4" width="19.88671875" customWidth="1"/>
    <col min="5" max="5" width="9.6640625" style="9" customWidth="1"/>
    <col min="6" max="6" width="11" customWidth="1"/>
    <col min="7" max="7" width="16.77734375" style="9" customWidth="1"/>
    <col min="8" max="8" width="40.6640625" customWidth="1"/>
  </cols>
  <sheetData>
    <row r="1" spans="1:8" ht="15.6" customHeight="1" x14ac:dyDescent="0.3">
      <c r="A1" s="10" t="s">
        <v>71</v>
      </c>
      <c r="B1" s="10"/>
      <c r="C1" s="10"/>
      <c r="D1" s="10"/>
      <c r="E1" s="10"/>
      <c r="F1" s="10"/>
      <c r="G1" s="10"/>
      <c r="H1" s="11"/>
    </row>
    <row r="2" spans="1:8" ht="28.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</v>
      </c>
      <c r="H2" s="1" t="s">
        <v>9</v>
      </c>
    </row>
    <row r="3" spans="1:8" x14ac:dyDescent="0.3">
      <c r="A3" s="3">
        <v>1</v>
      </c>
      <c r="B3" s="4" t="s">
        <v>10</v>
      </c>
      <c r="C3" s="4">
        <v>12</v>
      </c>
      <c r="D3" s="4" t="s">
        <v>11</v>
      </c>
      <c r="E3" s="4" t="s">
        <v>12</v>
      </c>
      <c r="F3" s="4" t="s">
        <v>13</v>
      </c>
      <c r="G3" s="4" t="s">
        <v>14</v>
      </c>
      <c r="H3" s="5" t="s">
        <v>15</v>
      </c>
    </row>
    <row r="4" spans="1:8" x14ac:dyDescent="0.3">
      <c r="A4" s="3">
        <v>2</v>
      </c>
      <c r="B4" s="4" t="s">
        <v>16</v>
      </c>
      <c r="C4" s="4">
        <v>20</v>
      </c>
      <c r="D4" s="4" t="s">
        <v>11</v>
      </c>
      <c r="E4" s="4" t="s">
        <v>17</v>
      </c>
      <c r="F4" s="4" t="s">
        <v>18</v>
      </c>
      <c r="G4" s="4" t="s">
        <v>19</v>
      </c>
      <c r="H4" s="5" t="s">
        <v>20</v>
      </c>
    </row>
    <row r="5" spans="1:8" x14ac:dyDescent="0.3">
      <c r="A5" s="3">
        <v>3</v>
      </c>
      <c r="B5" s="4" t="s">
        <v>21</v>
      </c>
      <c r="C5" s="4">
        <v>24</v>
      </c>
      <c r="D5" s="4" t="s">
        <v>11</v>
      </c>
      <c r="E5" s="4" t="s">
        <v>17</v>
      </c>
      <c r="F5" s="4" t="s">
        <v>18</v>
      </c>
      <c r="G5" s="4" t="s">
        <v>22</v>
      </c>
      <c r="H5" s="5" t="s">
        <v>23</v>
      </c>
    </row>
    <row r="6" spans="1:8" x14ac:dyDescent="0.3">
      <c r="A6" s="3">
        <v>4</v>
      </c>
      <c r="B6" s="4" t="s">
        <v>24</v>
      </c>
      <c r="C6" s="4">
        <v>895</v>
      </c>
      <c r="D6" s="4" t="s">
        <v>11</v>
      </c>
      <c r="E6" s="4" t="s">
        <v>12</v>
      </c>
      <c r="F6" s="4" t="s">
        <v>13</v>
      </c>
      <c r="G6" s="4" t="s">
        <v>25</v>
      </c>
      <c r="H6" s="5" t="s">
        <v>26</v>
      </c>
    </row>
    <row r="7" spans="1:8" x14ac:dyDescent="0.3">
      <c r="A7" s="3">
        <v>5</v>
      </c>
      <c r="B7" s="4" t="s">
        <v>27</v>
      </c>
      <c r="C7" s="4">
        <v>142</v>
      </c>
      <c r="D7" s="4" t="s">
        <v>11</v>
      </c>
      <c r="E7" s="4" t="s">
        <v>12</v>
      </c>
      <c r="F7" s="4" t="s">
        <v>18</v>
      </c>
      <c r="G7" s="4"/>
      <c r="H7" s="5" t="s">
        <v>28</v>
      </c>
    </row>
    <row r="8" spans="1:8" x14ac:dyDescent="0.3">
      <c r="A8" s="3">
        <v>6</v>
      </c>
      <c r="B8" s="4" t="s">
        <v>29</v>
      </c>
      <c r="C8" s="4">
        <v>23</v>
      </c>
      <c r="D8" s="4" t="s">
        <v>11</v>
      </c>
      <c r="E8" s="4" t="s">
        <v>30</v>
      </c>
      <c r="F8" s="4" t="s">
        <v>13</v>
      </c>
      <c r="G8" s="4" t="s">
        <v>31</v>
      </c>
      <c r="H8" s="5" t="s">
        <v>32</v>
      </c>
    </row>
    <row r="9" spans="1:8" x14ac:dyDescent="0.3">
      <c r="A9" s="3">
        <v>7</v>
      </c>
      <c r="B9" s="4" t="s">
        <v>33</v>
      </c>
      <c r="C9" s="4">
        <v>29</v>
      </c>
      <c r="D9" s="4" t="s">
        <v>11</v>
      </c>
      <c r="E9" s="4" t="s">
        <v>30</v>
      </c>
      <c r="F9" s="4" t="s">
        <v>13</v>
      </c>
      <c r="G9" s="4" t="s">
        <v>31</v>
      </c>
      <c r="H9" s="5" t="s">
        <v>32</v>
      </c>
    </row>
    <row r="10" spans="1:8" x14ac:dyDescent="0.3">
      <c r="A10" s="3">
        <v>8</v>
      </c>
      <c r="B10" s="4" t="s">
        <v>34</v>
      </c>
      <c r="C10" s="4">
        <v>125</v>
      </c>
      <c r="D10" s="4" t="s">
        <v>11</v>
      </c>
      <c r="E10" s="4" t="s">
        <v>12</v>
      </c>
      <c r="F10" s="4" t="s">
        <v>18</v>
      </c>
      <c r="G10" s="4" t="s">
        <v>35</v>
      </c>
      <c r="H10" s="5" t="s">
        <v>36</v>
      </c>
    </row>
    <row r="11" spans="1:8" x14ac:dyDescent="0.3">
      <c r="A11" s="3">
        <v>9</v>
      </c>
      <c r="B11" s="4" t="s">
        <v>37</v>
      </c>
      <c r="C11" s="4">
        <v>38</v>
      </c>
      <c r="D11" s="4" t="s">
        <v>11</v>
      </c>
      <c r="E11" s="4" t="s">
        <v>38</v>
      </c>
      <c r="F11" s="4" t="s">
        <v>13</v>
      </c>
      <c r="G11" s="4" t="s">
        <v>39</v>
      </c>
      <c r="H11" s="5" t="s">
        <v>40</v>
      </c>
    </row>
    <row r="12" spans="1:8" x14ac:dyDescent="0.3">
      <c r="A12" s="3">
        <v>10</v>
      </c>
      <c r="B12" s="4" t="s">
        <v>41</v>
      </c>
      <c r="C12" s="4">
        <v>40</v>
      </c>
      <c r="D12" s="4" t="s">
        <v>11</v>
      </c>
      <c r="E12" s="4" t="s">
        <v>12</v>
      </c>
      <c r="F12" s="4" t="s">
        <v>13</v>
      </c>
      <c r="G12" s="4" t="s">
        <v>42</v>
      </c>
      <c r="H12" s="5" t="s">
        <v>43</v>
      </c>
    </row>
    <row r="13" spans="1:8" x14ac:dyDescent="0.3">
      <c r="A13" s="3">
        <v>11</v>
      </c>
      <c r="B13" s="4" t="s">
        <v>44</v>
      </c>
      <c r="C13" s="4">
        <v>36</v>
      </c>
      <c r="D13" s="4" t="s">
        <v>11</v>
      </c>
      <c r="E13" s="4" t="s">
        <v>12</v>
      </c>
      <c r="F13" s="4" t="s">
        <v>18</v>
      </c>
      <c r="G13" s="4" t="s">
        <v>42</v>
      </c>
      <c r="H13" s="5" t="s">
        <v>43</v>
      </c>
    </row>
    <row r="14" spans="1:8" x14ac:dyDescent="0.3">
      <c r="A14" s="3">
        <v>12</v>
      </c>
      <c r="B14" s="4" t="s">
        <v>45</v>
      </c>
      <c r="C14" s="4">
        <v>20</v>
      </c>
      <c r="D14" s="4" t="s">
        <v>11</v>
      </c>
      <c r="E14" s="4" t="s">
        <v>46</v>
      </c>
      <c r="F14" s="4" t="s">
        <v>13</v>
      </c>
      <c r="G14" s="4" t="s">
        <v>47</v>
      </c>
      <c r="H14" s="5" t="s">
        <v>48</v>
      </c>
    </row>
    <row r="15" spans="1:8" x14ac:dyDescent="0.3">
      <c r="A15" s="3">
        <v>13</v>
      </c>
      <c r="B15" s="4" t="s">
        <v>49</v>
      </c>
      <c r="C15" s="4">
        <v>38</v>
      </c>
      <c r="D15" s="4" t="s">
        <v>11</v>
      </c>
      <c r="E15" s="4" t="s">
        <v>12</v>
      </c>
      <c r="F15" s="4" t="s">
        <v>13</v>
      </c>
      <c r="G15" s="4" t="s">
        <v>50</v>
      </c>
      <c r="H15" s="5" t="s">
        <v>51</v>
      </c>
    </row>
    <row r="16" spans="1:8" x14ac:dyDescent="0.3">
      <c r="A16" s="3">
        <v>14</v>
      </c>
      <c r="B16" s="4" t="s">
        <v>52</v>
      </c>
      <c r="C16" s="4">
        <v>41</v>
      </c>
      <c r="D16" s="4" t="s">
        <v>11</v>
      </c>
      <c r="E16" s="4" t="s">
        <v>12</v>
      </c>
      <c r="F16" s="4" t="s">
        <v>13</v>
      </c>
      <c r="G16" s="4" t="s">
        <v>50</v>
      </c>
      <c r="H16" s="5" t="s">
        <v>51</v>
      </c>
    </row>
    <row r="17" spans="1:8" x14ac:dyDescent="0.3">
      <c r="A17" s="3">
        <v>15</v>
      </c>
      <c r="B17" s="4" t="s">
        <v>53</v>
      </c>
      <c r="C17" s="4">
        <v>16</v>
      </c>
      <c r="D17" s="4" t="s">
        <v>11</v>
      </c>
      <c r="E17" s="4" t="s">
        <v>54</v>
      </c>
      <c r="F17" s="4" t="s">
        <v>18</v>
      </c>
      <c r="G17" s="4" t="s">
        <v>56</v>
      </c>
      <c r="H17" s="5" t="s">
        <v>57</v>
      </c>
    </row>
    <row r="18" spans="1:8" x14ac:dyDescent="0.3">
      <c r="A18" s="3">
        <v>16</v>
      </c>
      <c r="B18" s="4" t="s">
        <v>58</v>
      </c>
      <c r="C18" s="4">
        <v>11</v>
      </c>
      <c r="D18" s="4" t="s">
        <v>11</v>
      </c>
      <c r="E18" s="4" t="s">
        <v>12</v>
      </c>
      <c r="F18" s="4" t="s">
        <v>13</v>
      </c>
      <c r="G18" s="4" t="s">
        <v>59</v>
      </c>
      <c r="H18" s="5" t="s">
        <v>60</v>
      </c>
    </row>
    <row r="19" spans="1:8" x14ac:dyDescent="0.3">
      <c r="A19" s="3">
        <v>17</v>
      </c>
      <c r="B19" s="4" t="s">
        <v>61</v>
      </c>
      <c r="C19" s="4">
        <v>50</v>
      </c>
      <c r="D19" s="4" t="s">
        <v>11</v>
      </c>
      <c r="E19" s="4" t="s">
        <v>62</v>
      </c>
      <c r="F19" s="4" t="s">
        <v>13</v>
      </c>
      <c r="G19" s="4" t="s">
        <v>64</v>
      </c>
      <c r="H19" s="5" t="s">
        <v>65</v>
      </c>
    </row>
    <row r="20" spans="1:8" x14ac:dyDescent="0.3">
      <c r="A20" s="6">
        <v>18</v>
      </c>
      <c r="B20" s="7" t="s">
        <v>66</v>
      </c>
      <c r="C20" s="7">
        <v>10</v>
      </c>
      <c r="D20" s="7" t="s">
        <v>11</v>
      </c>
      <c r="E20" s="7" t="s">
        <v>67</v>
      </c>
      <c r="F20" s="7" t="s">
        <v>13</v>
      </c>
      <c r="G20" s="7" t="s">
        <v>69</v>
      </c>
      <c r="H20" s="8" t="s">
        <v>70</v>
      </c>
    </row>
    <row r="21" spans="1:8" x14ac:dyDescent="0.3">
      <c r="A21" s="6"/>
      <c r="B21" s="7"/>
      <c r="C21" s="7">
        <f>SUM(Table5[Column3])</f>
        <v>1570</v>
      </c>
      <c r="D21" s="7"/>
      <c r="E21" s="7"/>
      <c r="F21" s="7"/>
      <c r="G21" s="7"/>
      <c r="H21" s="8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4581-EB0E-4DEF-8245-FEBAD9C7BA8E}">
  <dimension ref="A1:K7"/>
  <sheetViews>
    <sheetView workbookViewId="0">
      <selection activeCell="K12" sqref="K12"/>
    </sheetView>
  </sheetViews>
  <sheetFormatPr defaultRowHeight="14.4" x14ac:dyDescent="0.3"/>
  <cols>
    <col min="1" max="1" width="4.88671875" customWidth="1"/>
    <col min="2" max="2" width="23.21875" style="9" customWidth="1"/>
    <col min="3" max="3" width="8.21875" customWidth="1"/>
    <col min="4" max="4" width="19.88671875" customWidth="1"/>
    <col min="5" max="5" width="9.6640625" style="9" customWidth="1"/>
    <col min="6" max="6" width="11" customWidth="1"/>
    <col min="7" max="7" width="8.77734375" customWidth="1"/>
    <col min="8" max="8" width="9.21875" customWidth="1"/>
    <col min="9" max="9" width="16.44140625" customWidth="1"/>
    <col min="10" max="10" width="16.77734375" style="9" customWidth="1"/>
    <col min="11" max="11" width="40.6640625" customWidth="1"/>
  </cols>
  <sheetData>
    <row r="1" spans="1:11" ht="15.6" customHeight="1" x14ac:dyDescent="0.3">
      <c r="A1" s="10" t="s">
        <v>72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28.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  <c r="K2" s="1" t="s">
        <v>9</v>
      </c>
    </row>
    <row r="3" spans="1:11" x14ac:dyDescent="0.3">
      <c r="A3" s="3">
        <v>1</v>
      </c>
      <c r="B3" s="4" t="s">
        <v>53</v>
      </c>
      <c r="C3" s="4">
        <f>SUM(Table53[[#This Row],[Column7]:[Column8]])</f>
        <v>36</v>
      </c>
      <c r="D3" s="4" t="s">
        <v>11</v>
      </c>
      <c r="E3" s="4" t="s">
        <v>54</v>
      </c>
      <c r="F3" s="4" t="s">
        <v>18</v>
      </c>
      <c r="G3" s="4">
        <v>16</v>
      </c>
      <c r="H3" s="4">
        <v>20</v>
      </c>
      <c r="I3" s="4" t="s">
        <v>55</v>
      </c>
      <c r="J3" s="4" t="s">
        <v>56</v>
      </c>
      <c r="K3" s="5" t="s">
        <v>57</v>
      </c>
    </row>
    <row r="4" spans="1:11" x14ac:dyDescent="0.3">
      <c r="A4" s="3">
        <v>2</v>
      </c>
      <c r="B4" s="4" t="s">
        <v>58</v>
      </c>
      <c r="C4" s="4">
        <f>SUM(Table53[[#This Row],[Column7]:[Column8]])</f>
        <v>24</v>
      </c>
      <c r="D4" s="4" t="s">
        <v>11</v>
      </c>
      <c r="E4" s="4" t="s">
        <v>12</v>
      </c>
      <c r="F4" s="4" t="s">
        <v>13</v>
      </c>
      <c r="G4" s="4">
        <v>11</v>
      </c>
      <c r="H4" s="4">
        <v>13</v>
      </c>
      <c r="I4" s="4" t="s">
        <v>55</v>
      </c>
      <c r="J4" s="4" t="s">
        <v>59</v>
      </c>
      <c r="K4" s="5" t="s">
        <v>60</v>
      </c>
    </row>
    <row r="5" spans="1:11" x14ac:dyDescent="0.3">
      <c r="A5" s="3">
        <v>3</v>
      </c>
      <c r="B5" s="4" t="s">
        <v>61</v>
      </c>
      <c r="C5" s="4">
        <f>SUM(Table53[[#This Row],[Column7]:[Column8]])</f>
        <v>100</v>
      </c>
      <c r="D5" s="4" t="s">
        <v>11</v>
      </c>
      <c r="E5" s="4" t="s">
        <v>62</v>
      </c>
      <c r="F5" s="4" t="s">
        <v>13</v>
      </c>
      <c r="G5" s="4">
        <v>50</v>
      </c>
      <c r="H5" s="4">
        <v>50</v>
      </c>
      <c r="I5" s="4" t="s">
        <v>63</v>
      </c>
      <c r="J5" s="4" t="s">
        <v>64</v>
      </c>
      <c r="K5" s="5" t="s">
        <v>65</v>
      </c>
    </row>
    <row r="6" spans="1:11" x14ac:dyDescent="0.3">
      <c r="A6" s="6">
        <v>4</v>
      </c>
      <c r="B6" s="7" t="s">
        <v>66</v>
      </c>
      <c r="C6" s="4">
        <f>SUM(Table53[[#This Row],[Column7]:[Column8]])</f>
        <v>50</v>
      </c>
      <c r="D6" s="7" t="s">
        <v>11</v>
      </c>
      <c r="E6" s="7" t="s">
        <v>67</v>
      </c>
      <c r="F6" s="7" t="s">
        <v>13</v>
      </c>
      <c r="G6" s="7">
        <v>10</v>
      </c>
      <c r="H6" s="7">
        <v>40</v>
      </c>
      <c r="I6" s="7" t="s">
        <v>68</v>
      </c>
      <c r="J6" s="7" t="s">
        <v>69</v>
      </c>
      <c r="K6" s="8" t="s">
        <v>70</v>
      </c>
    </row>
    <row r="7" spans="1:11" x14ac:dyDescent="0.3">
      <c r="A7" s="6"/>
      <c r="B7" s="7"/>
      <c r="C7" s="7">
        <f>SUM(Table53[Column3])</f>
        <v>210</v>
      </c>
      <c r="D7" s="7"/>
      <c r="E7" s="7"/>
      <c r="F7" s="7"/>
      <c r="G7" s="7">
        <f>SUM(Table53[Column7])</f>
        <v>87</v>
      </c>
      <c r="H7" s="7">
        <f>SUM(Table53[Column8])</f>
        <v>123</v>
      </c>
      <c r="I7" s="7"/>
      <c r="J7" s="7"/>
      <c r="K7" s="8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ST18A</vt:lpstr>
      <vt:lpstr>ST18B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2026-07-18T12:35:11Z</dcterms:created>
  <dcterms:modified xsi:type="dcterms:W3CDTF">2026-08-16T07:26:06Z</dcterms:modified>
</cp:coreProperties>
</file>